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dadp2\OneDrive\Documentos\"/>
    </mc:Choice>
  </mc:AlternateContent>
  <xr:revisionPtr revIDLastSave="0" documentId="13_ncr:1_{2094641B-D5E1-4CFE-9CED-144B4AFA7F10}" xr6:coauthVersionLast="47" xr6:coauthVersionMax="47" xr10:uidLastSave="{00000000-0000-0000-0000-000000000000}"/>
  <bookViews>
    <workbookView xWindow="-120" yWindow="-120" windowWidth="20730" windowHeight="11040" activeTab="1" xr2:uid="{1FFB3C59-0E24-4823-92F0-AB350EBAB8A2}"/>
  </bookViews>
  <sheets>
    <sheet name="Datos" sheetId="1" r:id="rId1"/>
    <sheet name="Dashboard" sheetId="2" r:id="rId2"/>
    <sheet name="Config" sheetId="3" r:id="rId3"/>
  </sheets>
  <definedNames>
    <definedName name="NativeTimeline_Fecha">#N/A</definedName>
    <definedName name="SegmentaciónDeDatos_Región">#N/A</definedName>
    <definedName name="SegmentaciónDeDatos_Vendedor">#N/A</definedName>
  </definedNames>
  <calcPr calcId="191029"/>
  <pivotCaches>
    <pivotCache cacheId="33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3" l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N8" i="2"/>
</calcChain>
</file>

<file path=xl/sharedStrings.xml><?xml version="1.0" encoding="utf-8"?>
<sst xmlns="http://schemas.openxmlformats.org/spreadsheetml/2006/main" count="4069" uniqueCount="71">
  <si>
    <t>Fecha</t>
  </si>
  <si>
    <t>Producto</t>
  </si>
  <si>
    <t>Categoría</t>
  </si>
  <si>
    <t>Vendedor</t>
  </si>
  <si>
    <t>Región</t>
  </si>
  <si>
    <t>Cantidad</t>
  </si>
  <si>
    <t>Precio Unitario</t>
  </si>
  <si>
    <t>Costo Unitario</t>
  </si>
  <si>
    <t>Smartphone Plus</t>
  </si>
  <si>
    <t>Mobile</t>
  </si>
  <si>
    <t>Laura González</t>
  </si>
  <si>
    <t>Sur</t>
  </si>
  <si>
    <t>Disco Duro 1TB</t>
  </si>
  <si>
    <t>Almacenamiento</t>
  </si>
  <si>
    <t>Javier Sánchez</t>
  </si>
  <si>
    <t>Norte</t>
  </si>
  <si>
    <t>Webcam HD</t>
  </si>
  <si>
    <t>Sofía Hernández</t>
  </si>
  <si>
    <t>Laptop Elite</t>
  </si>
  <si>
    <t>Computación</t>
  </si>
  <si>
    <t>Este</t>
  </si>
  <si>
    <t>Teclado Mecánico</t>
  </si>
  <si>
    <t>Centro</t>
  </si>
  <si>
    <t>Auriculares Bluetooth</t>
  </si>
  <si>
    <t>Diego Pérez</t>
  </si>
  <si>
    <t>Pedro Martínez</t>
  </si>
  <si>
    <t>Mouse Inalámbrico</t>
  </si>
  <si>
    <t>Carlos López</t>
  </si>
  <si>
    <t>Oeste</t>
  </si>
  <si>
    <t>Tablet Pro</t>
  </si>
  <si>
    <t>Periféricos</t>
  </si>
  <si>
    <t>Ana García</t>
  </si>
  <si>
    <t>Monitor 24'</t>
  </si>
  <si>
    <t>María Rodríguez</t>
  </si>
  <si>
    <t>Impresora Laser</t>
  </si>
  <si>
    <t>Ene</t>
  </si>
  <si>
    <t>Feb</t>
  </si>
  <si>
    <t>Mar</t>
  </si>
  <si>
    <t>Abr</t>
  </si>
  <si>
    <t>May</t>
  </si>
  <si>
    <t>Jun</t>
  </si>
  <si>
    <t>Jul</t>
  </si>
  <si>
    <t>Ago</t>
  </si>
  <si>
    <t>Set</t>
  </si>
  <si>
    <t>Oct</t>
  </si>
  <si>
    <t>Nov</t>
  </si>
  <si>
    <t>Dic</t>
  </si>
  <si>
    <t>TOTAL</t>
  </si>
  <si>
    <t>MESES</t>
  </si>
  <si>
    <t>CATEGORÍA</t>
  </si>
  <si>
    <t>REGIÓN</t>
  </si>
  <si>
    <t>VENDEDOR</t>
  </si>
  <si>
    <t>CANTIDAD VENDIDA</t>
  </si>
  <si>
    <t>Total Venta</t>
  </si>
  <si>
    <t>Total Costo</t>
  </si>
  <si>
    <t>VENTA (S/.)</t>
  </si>
  <si>
    <t>TOTAL VENTAS</t>
  </si>
  <si>
    <t>MARGEN BRUTO</t>
  </si>
  <si>
    <t>CONCEPTO</t>
  </si>
  <si>
    <t>VALOR</t>
  </si>
  <si>
    <t>Costo Marketing</t>
  </si>
  <si>
    <t>Costo Operativo</t>
  </si>
  <si>
    <t>Costo Inventario</t>
  </si>
  <si>
    <t>Meta Margen Bruto</t>
  </si>
  <si>
    <t>Meta ROI</t>
  </si>
  <si>
    <t>Margen Producto</t>
  </si>
  <si>
    <t>Total Inversión</t>
  </si>
  <si>
    <t>ROI</t>
  </si>
  <si>
    <t>UTILIDAD</t>
  </si>
  <si>
    <t>Dashboard Ejecutivo de Analytics Comercial - Sistema Interactivo con Segmentación y Análisis Temporal</t>
  </si>
  <si>
    <t>PRODUCTO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</si>
</sst>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&quot;S/&quot;\ #,##0.00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9" tint="-0.49998474074526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9" tint="-0.249977111117893"/>
      <name val="Aptos Narrow"/>
      <family val="2"/>
      <scheme val="minor"/>
    </font>
    <font>
      <b/>
      <sz val="11"/>
      <color theme="4" tint="-0.249977111117893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8"/>
      <color theme="1" tint="0.249977111117893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theme="9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9" tint="-0.249977111117893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0" fillId="0" borderId="0" xfId="0" applyNumberFormat="1" applyFont="1" applyAlignment="1">
      <alignment horizontal="center" vertical="center"/>
    </xf>
    <xf numFmtId="4" fontId="0" fillId="0" borderId="0" xfId="0" applyNumberForma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4" fontId="0" fillId="0" borderId="0" xfId="0" applyNumberFormat="1" applyFont="1" applyFill="1" applyAlignment="1">
      <alignment horizontal="center" vertical="center"/>
    </xf>
    <xf numFmtId="10" fontId="3" fillId="0" borderId="0" xfId="0" applyNumberFormat="1" applyFont="1" applyAlignment="1">
      <alignment horizontal="center" vertical="center"/>
    </xf>
    <xf numFmtId="0" fontId="0" fillId="0" borderId="0" xfId="1" applyNumberFormat="1" applyFont="1"/>
    <xf numFmtId="3" fontId="5" fillId="0" borderId="0" xfId="0" applyNumberFormat="1" applyFont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4" fontId="0" fillId="0" borderId="1" xfId="1" applyNumberFormat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65" fontId="1" fillId="0" borderId="1" xfId="0" applyNumberFormat="1" applyFont="1" applyBorder="1"/>
    <xf numFmtId="165" fontId="0" fillId="0" borderId="0" xfId="0" applyNumberFormat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10" fontId="1" fillId="0" borderId="0" xfId="1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Normal" xfId="0" builtinId="0"/>
    <cellStyle name="Porcentaje" xfId="1" builtinId="5"/>
  </cellStyles>
  <dxfs count="1147"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&quot;S/&quot;\ #,##0.0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499984740745262"/>
      </font>
    </dxf>
    <dxf>
      <font>
        <color theme="9" tint="-0.49998474074526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theme="9" tint="-0.249977111117893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249977111117893"/>
      </font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ill>
        <patternFill patternType="solid">
          <bgColor rgb="FFFFFF00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font>
        <b/>
      </font>
    </dxf>
    <dxf>
      <font>
        <b val="0"/>
      </font>
    </dxf>
    <dxf>
      <font>
        <b/>
      </font>
    </dxf>
    <dxf>
      <alignment horizontal="center"/>
    </dxf>
    <dxf>
      <alignment vertical="center"/>
    </dxf>
    <dxf>
      <numFmt numFmtId="4" formatCode="#,##0.00"/>
    </dxf>
    <dxf>
      <fill>
        <patternFill patternType="none">
          <bgColor auto="1"/>
        </patternFill>
      </fill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&quot;S/&quot;\ #,##0.0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499984740745262"/>
      </font>
    </dxf>
    <dxf>
      <font>
        <color theme="9" tint="-0.49998474074526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theme="9" tint="-0.249977111117893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249977111117893"/>
      </font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ill>
        <patternFill patternType="solid">
          <bgColor rgb="FFFFFF00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font>
        <b/>
      </font>
    </dxf>
    <dxf>
      <font>
        <b val="0"/>
      </font>
    </dxf>
    <dxf>
      <font>
        <b/>
      </font>
    </dxf>
    <dxf>
      <alignment horizontal="center"/>
    </dxf>
    <dxf>
      <alignment vertical="center"/>
    </dxf>
    <dxf>
      <numFmt numFmtId="4" formatCode="#,##0.00"/>
    </dxf>
    <dxf>
      <fill>
        <patternFill patternType="none">
          <bgColor auto="1"/>
        </patternFill>
      </fill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&quot;S/&quot;\ #,##0.0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499984740745262"/>
      </font>
    </dxf>
    <dxf>
      <font>
        <color theme="9" tint="-0.49998474074526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theme="9" tint="-0.249977111117893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249977111117893"/>
      </font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ill>
        <patternFill patternType="solid">
          <bgColor rgb="FFFFFF00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font>
        <b/>
      </font>
    </dxf>
    <dxf>
      <font>
        <b val="0"/>
      </font>
    </dxf>
    <dxf>
      <font>
        <b/>
      </font>
    </dxf>
    <dxf>
      <alignment horizontal="center"/>
    </dxf>
    <dxf>
      <alignment vertical="center"/>
    </dxf>
    <dxf>
      <numFmt numFmtId="4" formatCode="#,##0.00"/>
    </dxf>
    <dxf>
      <fill>
        <patternFill patternType="none">
          <bgColor auto="1"/>
        </patternFill>
      </fill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&quot;S/&quot;\ #,##0.0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499984740745262"/>
      </font>
    </dxf>
    <dxf>
      <font>
        <color theme="9" tint="-0.49998474074526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theme="9" tint="-0.249977111117893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249977111117893"/>
      </font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ill>
        <patternFill patternType="solid">
          <bgColor rgb="FFFFFF00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font>
        <b/>
      </font>
    </dxf>
    <dxf>
      <font>
        <b val="0"/>
      </font>
    </dxf>
    <dxf>
      <font>
        <b/>
      </font>
    </dxf>
    <dxf>
      <alignment horizontal="center"/>
    </dxf>
    <dxf>
      <alignment vertical="center"/>
    </dxf>
    <dxf>
      <numFmt numFmtId="4" formatCode="#,##0.00"/>
    </dxf>
    <dxf>
      <fill>
        <patternFill patternType="none">
          <bgColor auto="1"/>
        </patternFill>
      </fill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&quot;S/&quot;\ #,##0.0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499984740745262"/>
      </font>
    </dxf>
    <dxf>
      <font>
        <color theme="9" tint="-0.49998474074526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theme="9" tint="-0.249977111117893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249977111117893"/>
      </font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ill>
        <patternFill patternType="solid">
          <bgColor rgb="FFFFFF00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font>
        <b/>
      </font>
    </dxf>
    <dxf>
      <font>
        <b val="0"/>
      </font>
    </dxf>
    <dxf>
      <font>
        <b/>
      </font>
    </dxf>
    <dxf>
      <alignment horizontal="center"/>
    </dxf>
    <dxf>
      <alignment vertical="center"/>
    </dxf>
    <dxf>
      <numFmt numFmtId="4" formatCode="#,##0.00"/>
    </dxf>
    <dxf>
      <fill>
        <patternFill patternType="none">
          <bgColor auto="1"/>
        </patternFill>
      </fill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&quot;S/&quot;\ #,##0.0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499984740745262"/>
      </font>
    </dxf>
    <dxf>
      <font>
        <color theme="9" tint="-0.49998474074526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theme="9" tint="-0.249977111117893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249977111117893"/>
      </font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ill>
        <patternFill patternType="solid">
          <bgColor rgb="FFFFFF00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font>
        <b/>
      </font>
    </dxf>
    <dxf>
      <font>
        <b val="0"/>
      </font>
    </dxf>
    <dxf>
      <font>
        <b/>
      </font>
    </dxf>
    <dxf>
      <alignment horizontal="center"/>
    </dxf>
    <dxf>
      <alignment vertical="center"/>
    </dxf>
    <dxf>
      <numFmt numFmtId="4" formatCode="#,##0.00"/>
    </dxf>
    <dxf>
      <fill>
        <patternFill patternType="none">
          <bgColor auto="1"/>
        </patternFill>
      </fill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&quot;S/&quot;\ #,##0.0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499984740745262"/>
      </font>
    </dxf>
    <dxf>
      <font>
        <color theme="9" tint="-0.49998474074526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theme="9" tint="-0.249977111117893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249977111117893"/>
      </font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ill>
        <patternFill patternType="solid">
          <bgColor rgb="FFFFFF00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font>
        <b/>
      </font>
    </dxf>
    <dxf>
      <font>
        <b val="0"/>
      </font>
    </dxf>
    <dxf>
      <font>
        <b/>
      </font>
    </dxf>
    <dxf>
      <alignment horizontal="center"/>
    </dxf>
    <dxf>
      <alignment vertical="center"/>
    </dxf>
    <dxf>
      <numFmt numFmtId="4" formatCode="#,##0.00"/>
    </dxf>
    <dxf>
      <fill>
        <patternFill patternType="none">
          <bgColor auto="1"/>
        </patternFill>
      </fill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&quot;S/&quot;\ #,##0.0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499984740745262"/>
      </font>
    </dxf>
    <dxf>
      <font>
        <color theme="9" tint="-0.49998474074526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theme="9" tint="-0.249977111117893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249977111117893"/>
      </font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ill>
        <patternFill patternType="solid">
          <bgColor rgb="FFFFFF00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font>
        <b/>
      </font>
    </dxf>
    <dxf>
      <font>
        <b val="0"/>
      </font>
    </dxf>
    <dxf>
      <font>
        <b/>
      </font>
    </dxf>
    <dxf>
      <alignment horizontal="center"/>
    </dxf>
    <dxf>
      <alignment vertical="center"/>
    </dxf>
    <dxf>
      <numFmt numFmtId="4" formatCode="#,##0.00"/>
    </dxf>
    <dxf>
      <fill>
        <patternFill patternType="none">
          <bgColor auto="1"/>
        </patternFill>
      </fill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&quot;S/&quot;\ #,##0.0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499984740745262"/>
      </font>
    </dxf>
    <dxf>
      <font>
        <color theme="9" tint="-0.49998474074526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theme="9" tint="-0.249977111117893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249977111117893"/>
      </font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ill>
        <patternFill patternType="solid">
          <bgColor rgb="FFFFFF00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font>
        <b/>
      </font>
    </dxf>
    <dxf>
      <font>
        <b val="0"/>
      </font>
    </dxf>
    <dxf>
      <font>
        <b/>
      </font>
    </dxf>
    <dxf>
      <alignment horizontal="center"/>
    </dxf>
    <dxf>
      <alignment vertical="center"/>
    </dxf>
    <dxf>
      <numFmt numFmtId="4" formatCode="#,##0.00"/>
    </dxf>
    <dxf>
      <fill>
        <patternFill patternType="none">
          <bgColor auto="1"/>
        </patternFill>
      </fill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&quot;S/&quot;\ #,##0.0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499984740745262"/>
      </font>
    </dxf>
    <dxf>
      <font>
        <color theme="9" tint="-0.49998474074526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theme="9" tint="-0.249977111117893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249977111117893"/>
      </font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ill>
        <patternFill patternType="solid">
          <bgColor rgb="FFFFFF00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font>
        <b/>
      </font>
    </dxf>
    <dxf>
      <font>
        <b val="0"/>
      </font>
    </dxf>
    <dxf>
      <font>
        <b/>
      </font>
    </dxf>
    <dxf>
      <alignment horizontal="center"/>
    </dxf>
    <dxf>
      <alignment vertical="center"/>
    </dxf>
    <dxf>
      <numFmt numFmtId="4" formatCode="#,##0.00"/>
    </dxf>
    <dxf>
      <fill>
        <patternFill patternType="none">
          <bgColor auto="1"/>
        </patternFill>
      </fill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&quot;S/&quot;\ #,##0.0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499984740745262"/>
      </font>
    </dxf>
    <dxf>
      <font>
        <color theme="9" tint="-0.49998474074526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theme="9" tint="-0.249977111117893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249977111117893"/>
      </font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ill>
        <patternFill patternType="solid">
          <bgColor rgb="FFFFFF00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font>
        <b/>
      </font>
    </dxf>
    <dxf>
      <font>
        <b val="0"/>
      </font>
    </dxf>
    <dxf>
      <font>
        <b/>
      </font>
    </dxf>
    <dxf>
      <alignment horizontal="center"/>
    </dxf>
    <dxf>
      <alignment vertical="center"/>
    </dxf>
    <dxf>
      <numFmt numFmtId="4" formatCode="#,##0.00"/>
    </dxf>
    <dxf>
      <fill>
        <patternFill patternType="none">
          <bgColor auto="1"/>
        </patternFill>
      </fill>
    </dxf>
    <dxf>
      <font>
        <b/>
      </font>
    </dxf>
    <dxf>
      <font>
        <b/>
        <i val="0"/>
        <color theme="9" tint="-0.24994659260841701"/>
      </font>
    </dxf>
    <dxf>
      <font>
        <b/>
        <i val="0"/>
        <color rgb="FFD6A3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D6A300"/>
      </font>
    </dxf>
    <dxf>
      <font>
        <b/>
        <i val="0"/>
        <color theme="9" tint="-0.24994659260841701"/>
      </font>
    </dxf>
    <dxf>
      <font>
        <color theme="9" tint="-0.49998474074526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theme="9" tint="-0.249977111117893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499984740745262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color theme="9" tint="-0.249977111117893"/>
      </font>
    </dxf>
    <dxf>
      <font>
        <b val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ill>
        <patternFill patternType="solid">
          <bgColor rgb="FFFFFF00"/>
        </patternFill>
      </fill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font>
        <b/>
      </font>
    </dxf>
    <dxf>
      <fill>
        <patternFill patternType="none">
          <bgColor auto="1"/>
        </patternFill>
      </fill>
    </dxf>
    <dxf>
      <numFmt numFmtId="4" formatCode="#,##0.00"/>
    </dxf>
    <dxf>
      <alignment vertical="center"/>
    </dxf>
    <dxf>
      <alignment horizontal="center"/>
    </dxf>
    <dxf>
      <font>
        <b/>
      </font>
    </dxf>
    <dxf>
      <numFmt numFmtId="4" formatCode="#,##0.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5" formatCode="&quot;S/&quot;\ #,##0.00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b val="0"/>
      </font>
    </dxf>
    <dxf>
      <font>
        <b/>
      </font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D6A300"/>
      <color rgb="FF7530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calcChain" Target="calcChain.xml"/><Relationship Id="rId5" Type="http://schemas.microsoft.com/office/2007/relationships/slicerCache" Target="slicerCaches/slicerCache1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[Proyecto_Ventas.xlsm]Dashboard!TablaDinámica1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VENTAS MENSUALES (Miles S/.)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6"/>
          </a:solidFill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2.2633744855967079E-2"/>
          <c:y val="0.17567788316659755"/>
          <c:w val="0.95473251028806583"/>
          <c:h val="0.74391982865210926"/>
        </c:manualLayout>
      </c:layout>
      <c:lineChart>
        <c:grouping val="standard"/>
        <c:varyColors val="0"/>
        <c:ser>
          <c:idx val="0"/>
          <c:order val="0"/>
          <c:tx>
            <c:strRef>
              <c:f>Dashboard!$V$1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b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Dashboard!$U$2:$U$14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Dashboard!$V$2:$V$14</c:f>
              <c:numCache>
                <c:formatCode>#,##0.00</c:formatCode>
                <c:ptCount val="12"/>
                <c:pt idx="0">
                  <c:v>161065.29</c:v>
                </c:pt>
                <c:pt idx="1">
                  <c:v>140924.54999999996</c:v>
                </c:pt>
                <c:pt idx="2">
                  <c:v>126182.01000000002</c:v>
                </c:pt>
                <c:pt idx="3">
                  <c:v>108095.99</c:v>
                </c:pt>
                <c:pt idx="4">
                  <c:v>134317.86000000002</c:v>
                </c:pt>
                <c:pt idx="5">
                  <c:v>199335.22</c:v>
                </c:pt>
                <c:pt idx="6">
                  <c:v>137231.18999999994</c:v>
                </c:pt>
                <c:pt idx="7">
                  <c:v>143566.94</c:v>
                </c:pt>
                <c:pt idx="8">
                  <c:v>129135.88000000002</c:v>
                </c:pt>
                <c:pt idx="9">
                  <c:v>142803.11000000002</c:v>
                </c:pt>
                <c:pt idx="10">
                  <c:v>188816.06</c:v>
                </c:pt>
                <c:pt idx="11">
                  <c:v>174873.1399999999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AF-43FB-817C-8E8D3C67F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5411023"/>
        <c:axId val="1495401903"/>
      </c:lineChart>
      <c:catAx>
        <c:axId val="14954110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95401903"/>
        <c:crosses val="autoZero"/>
        <c:auto val="1"/>
        <c:lblAlgn val="ctr"/>
        <c:lblOffset val="100"/>
        <c:noMultiLvlLbl val="0"/>
      </c:catAx>
      <c:valAx>
        <c:axId val="1495401903"/>
        <c:scaling>
          <c:orientation val="minMax"/>
        </c:scaling>
        <c:delete val="1"/>
        <c:axPos val="l"/>
        <c:numFmt formatCode="0" sourceLinked="0"/>
        <c:majorTickMark val="none"/>
        <c:minorTickMark val="none"/>
        <c:tickLblPos val="nextTo"/>
        <c:crossAx val="1495411023"/>
        <c:crosses val="autoZero"/>
        <c:crossBetween val="between"/>
        <c:majorUnit val="10000"/>
        <c:minorUnit val="5000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[Proyecto_Ventas.xlsm]Dashboard!TablaDinámica2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accent6">
                    <a:lumMod val="50000"/>
                  </a:schemeClr>
                </a:solidFill>
              </a:rPr>
              <a:t>VENTAS</a:t>
            </a:r>
            <a:r>
              <a:rPr lang="en-US" sz="1200" baseline="0">
                <a:solidFill>
                  <a:schemeClr val="accent6">
                    <a:lumMod val="50000"/>
                  </a:schemeClr>
                </a:solidFill>
              </a:rPr>
              <a:t> POR CATEGORÍA</a:t>
            </a:r>
            <a:endParaRPr lang="en-US" sz="1200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AEB45EA7-C4AE-4BA4-A1A7-497623F76853}" type="PERCENTAGE">
                  <a:rPr lang="en-US">
                    <a:solidFill>
                      <a:schemeClr val="accent5">
                        <a:lumMod val="75000"/>
                      </a:schemeClr>
                    </a:solidFill>
                  </a:rPr>
                  <a:pPr>
                    <a:defRPr sz="10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[PORCENTAJE]</a:t>
                </a:fld>
                <a:endParaRPr lang="es-PE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0"/>
            </c:ext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C45B2050-C463-4B37-A7B1-F1EF890130CF}" type="PERCENTAGE">
                  <a:rPr lang="en-US">
                    <a:solidFill>
                      <a:schemeClr val="accent4">
                        <a:lumMod val="75000"/>
                      </a:schemeClr>
                    </a:solidFill>
                  </a:rPr>
                  <a:pPr>
                    <a:defRPr sz="10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[PORCENTAJE]</a:t>
                </a:fld>
                <a:endParaRPr lang="es-PE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0"/>
            </c:ext>
          </c:extLst>
        </c:dLbl>
      </c:pivotFmt>
      <c:pivotFmt>
        <c:idx val="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F028E4D-7786-4E4D-9262-0217A5AD2A3A}" type="PERCENTAGE">
                  <a:rPr lang="en-US">
                    <a:solidFill>
                      <a:schemeClr val="accent3">
                        <a:lumMod val="75000"/>
                      </a:schemeClr>
                    </a:solidFill>
                  </a:rPr>
                  <a:pPr>
                    <a:defRPr sz="10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[PORCENTAJE]</a:t>
                </a:fld>
                <a:endParaRPr lang="es-PE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0"/>
            </c:ext>
          </c:extLst>
        </c:dLbl>
      </c:pivotFmt>
      <c:pivotFmt>
        <c:idx val="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C8454B5-ABEC-4588-9C76-B340EBFE9BD9}" type="PERCENTAGE">
                  <a:rPr lang="en-US">
                    <a:solidFill>
                      <a:schemeClr val="accent6"/>
                    </a:solidFill>
                  </a:rPr>
                  <a:pPr>
                    <a:defRPr sz="10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[PORCENTAJE]</a:t>
                </a:fld>
                <a:endParaRPr lang="es-PE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0"/>
            </c:ext>
          </c:extLst>
        </c:dLbl>
      </c:pivotFmt>
      <c:pivotFmt>
        <c:idx val="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45B32D23-A487-4B44-8B30-E8F7411846B7}" type="PERCENTAGE">
                  <a:rPr lang="en-US">
                    <a:solidFill>
                      <a:schemeClr val="accent3">
                        <a:lumMod val="50000"/>
                      </a:schemeClr>
                    </a:solidFill>
                  </a:rPr>
                  <a:pPr>
                    <a:defRPr sz="1000" b="1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defRPr>
                  </a:pPr>
                  <a:t>[PORCENTAJE]</a:t>
                </a:fld>
                <a:endParaRPr lang="es-PE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0"/>
            </c:ext>
          </c:extLst>
        </c:dLbl>
      </c:pivotFmt>
      <c:pivotFmt>
        <c:idx val="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53D2B6B2-AC56-4B81-835A-09B98730821B}" type="PERCENTAGE">
                  <a:rPr lang="en-US">
                    <a:solidFill>
                      <a:schemeClr val="accent6">
                        <a:lumMod val="75000"/>
                      </a:schemeClr>
                    </a:solidFill>
                  </a:rPr>
                  <a:pPr>
                    <a:defRPr sz="1000" b="1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defRPr>
                  </a:pPr>
                  <a:t>[PORCENTAJE]</a:t>
                </a:fld>
                <a:endParaRPr lang="es-PE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0"/>
            </c:ext>
          </c:extLst>
        </c:dLbl>
      </c:pivotFmt>
      <c:pivotFmt>
        <c:idx val="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95E796A-1EBC-410C-89CF-AA5C666E472E}" type="PERCENTAGE">
                  <a:rPr lang="en-US">
                    <a:solidFill>
                      <a:schemeClr val="tx2">
                        <a:lumMod val="75000"/>
                        <a:lumOff val="25000"/>
                      </a:schemeClr>
                    </a:solidFill>
                  </a:rPr>
                  <a:pPr>
                    <a:defRPr sz="1000" b="1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defRPr>
                  </a:pPr>
                  <a:t>[PORCENTAJE]</a:t>
                </a:fld>
                <a:endParaRPr lang="es-PE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0"/>
            </c:ext>
          </c:extLst>
        </c:dLbl>
      </c:pivotFmt>
      <c:pivotFmt>
        <c:idx val="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D07A81A0-37DC-4B44-9476-9231E971E119}" type="PERCENTAGE">
                  <a:rPr lang="en-US">
                    <a:solidFill>
                      <a:schemeClr val="accent5">
                        <a:lumMod val="50000"/>
                      </a:schemeClr>
                    </a:solidFill>
                  </a:rPr>
                  <a:pPr>
                    <a:defRPr sz="1000" b="1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defRPr>
                  </a:pPr>
                  <a:t>[PORCENTAJE]</a:t>
                </a:fld>
                <a:endParaRPr lang="es-PE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0"/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Dashboard!$Y$1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A6A-4B7D-AE12-AA988D3B76E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8A6A-4B7D-AE12-AA988D3B76E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8A6A-4B7D-AE12-AA988D3B76EC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8A6A-4B7D-AE12-AA988D3B76E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53D2B6B2-AC56-4B81-835A-09B98730821B}" type="PERCENTAGE">
                      <a:rPr lang="en-US">
                        <a:solidFill>
                          <a:schemeClr val="accent6">
                            <a:lumMod val="75000"/>
                          </a:schemeClr>
                        </a:solidFill>
                      </a:rPr>
                      <a:pPr/>
                      <a:t>[PORCENTAJE]</a:t>
                    </a:fld>
                    <a:endParaRPr lang="es-PE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8A6A-4B7D-AE12-AA988D3B76E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07A81A0-37DC-4B44-9476-9231E971E119}" type="PERCENTAGE">
                      <a:rPr lang="en-US">
                        <a:solidFill>
                          <a:schemeClr val="accent5">
                            <a:lumMod val="50000"/>
                          </a:schemeClr>
                        </a:solidFill>
                      </a:rPr>
                      <a:pPr/>
                      <a:t>[PORCENTAJE]</a:t>
                    </a:fld>
                    <a:endParaRPr lang="es-PE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8A6A-4B7D-AE12-AA988D3B76E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5E796A-1EBC-410C-89CF-AA5C666E472E}" type="PERCENTAGE">
                      <a:rPr lang="en-US">
                        <a:solidFill>
                          <a:schemeClr val="tx2">
                            <a:lumMod val="75000"/>
                            <a:lumOff val="25000"/>
                          </a:schemeClr>
                        </a:solidFill>
                      </a:rPr>
                      <a:pPr/>
                      <a:t>[PORCENTAJE]</a:t>
                    </a:fld>
                    <a:endParaRPr lang="es-PE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A6A-4B7D-AE12-AA988D3B76E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B32D23-A487-4B44-8B30-E8F7411846B7}" type="PERCENTAGE">
                      <a:rPr lang="en-US">
                        <a:solidFill>
                          <a:schemeClr val="accent3">
                            <a:lumMod val="50000"/>
                          </a:schemeClr>
                        </a:solidFill>
                      </a:rPr>
                      <a:pPr/>
                      <a:t>[PORCENTAJE]</a:t>
                    </a:fld>
                    <a:endParaRPr lang="es-PE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A-8A6A-4B7D-AE12-AA988D3B76EC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Dashboard!$X$2:$X$6</c:f>
              <c:strCache>
                <c:ptCount val="4"/>
                <c:pt idx="0">
                  <c:v>Almacenamiento</c:v>
                </c:pt>
                <c:pt idx="1">
                  <c:v>Computación</c:v>
                </c:pt>
                <c:pt idx="2">
                  <c:v>Mobile</c:v>
                </c:pt>
                <c:pt idx="3">
                  <c:v>Periféricos</c:v>
                </c:pt>
              </c:strCache>
            </c:strRef>
          </c:cat>
          <c:val>
            <c:numRef>
              <c:f>Dashboard!$Y$2:$Y$6</c:f>
              <c:numCache>
                <c:formatCode>#,##0.00</c:formatCode>
                <c:ptCount val="4"/>
                <c:pt idx="0">
                  <c:v>209643.42000000004</c:v>
                </c:pt>
                <c:pt idx="1">
                  <c:v>698649.58000000042</c:v>
                </c:pt>
                <c:pt idx="2">
                  <c:v>449406.64999999997</c:v>
                </c:pt>
                <c:pt idx="3">
                  <c:v>428647.58999999962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A6A-4B7D-AE12-AA988D3B76E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[Proyecto_Ventas.xlsm]Dashboard!TablaDinámica4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VENDEDORES</a:t>
            </a:r>
            <a:r>
              <a:rPr lang="en-US" sz="1200" b="1" baseline="0">
                <a:solidFill>
                  <a:schemeClr val="accent6">
                    <a:lumMod val="50000"/>
                  </a:schemeClr>
                </a:solidFill>
              </a:rPr>
              <a:t> - TOP 5</a:t>
            </a:r>
            <a:endParaRPr lang="en-US" sz="1200" b="1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accent6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Dashboard!$AB$1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Dashboard!$AA$2:$AA$6</c:f>
              <c:strCache>
                <c:ptCount val="5"/>
                <c:pt idx="0">
                  <c:v>Diego Pérez</c:v>
                </c:pt>
                <c:pt idx="1">
                  <c:v>María Rodríguez</c:v>
                </c:pt>
                <c:pt idx="2">
                  <c:v>Javier Sánchez</c:v>
                </c:pt>
                <c:pt idx="3">
                  <c:v>Laura González</c:v>
                </c:pt>
                <c:pt idx="4">
                  <c:v>Sofía Hernández</c:v>
                </c:pt>
              </c:strCache>
            </c:strRef>
          </c:cat>
          <c:val>
            <c:numRef>
              <c:f>Dashboard!$AB$2:$AB$6</c:f>
              <c:numCache>
                <c:formatCode>#,##0.00</c:formatCode>
                <c:ptCount val="5"/>
                <c:pt idx="0">
                  <c:v>224942.72</c:v>
                </c:pt>
                <c:pt idx="1">
                  <c:v>234972.80999999997</c:v>
                </c:pt>
                <c:pt idx="2">
                  <c:v>243019.76</c:v>
                </c:pt>
                <c:pt idx="3">
                  <c:v>248125.52000000011</c:v>
                </c:pt>
                <c:pt idx="4">
                  <c:v>251647.55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D-474C-8A31-A14B5A1A3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axId val="123293663"/>
        <c:axId val="123301343"/>
      </c:barChart>
      <c:catAx>
        <c:axId val="1232936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3301343"/>
        <c:crosses val="autoZero"/>
        <c:auto val="1"/>
        <c:lblAlgn val="ctr"/>
        <c:lblOffset val="100"/>
        <c:noMultiLvlLbl val="0"/>
      </c:catAx>
      <c:valAx>
        <c:axId val="123301343"/>
        <c:scaling>
          <c:orientation val="minMax"/>
        </c:scaling>
        <c:delete val="1"/>
        <c:axPos val="b"/>
        <c:numFmt formatCode="#,##0.00" sourceLinked="1"/>
        <c:majorTickMark val="none"/>
        <c:minorTickMark val="none"/>
        <c:tickLblPos val="nextTo"/>
        <c:crossAx val="123293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[Proyecto_Ventas.xlsm]Dashboard!TablaDinámica3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VENTAS (S/.) POR REGIÓN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Dashboard!$U$18:$U$23</c:f>
              <c:strCache>
                <c:ptCount val="5"/>
                <c:pt idx="0">
                  <c:v>Centro</c:v>
                </c:pt>
                <c:pt idx="1">
                  <c:v>Este</c:v>
                </c:pt>
                <c:pt idx="2">
                  <c:v>Sur</c:v>
                </c:pt>
                <c:pt idx="3">
                  <c:v>Norte</c:v>
                </c:pt>
                <c:pt idx="4">
                  <c:v>Oeste</c:v>
                </c:pt>
              </c:strCache>
            </c:strRef>
          </c:cat>
          <c:val>
            <c:numRef>
              <c:f>Dashboard!$V$18:$V$23</c:f>
              <c:numCache>
                <c:formatCode>#,##0.00</c:formatCode>
                <c:ptCount val="5"/>
                <c:pt idx="0">
                  <c:v>416388.05999999976</c:v>
                </c:pt>
                <c:pt idx="1">
                  <c:v>395735.80999999994</c:v>
                </c:pt>
                <c:pt idx="2">
                  <c:v>350885.60000000003</c:v>
                </c:pt>
                <c:pt idx="3">
                  <c:v>330795.70000000019</c:v>
                </c:pt>
                <c:pt idx="4">
                  <c:v>292542.06999999995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2B-4066-9304-1B0B9137F4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2035407"/>
        <c:axId val="822042127"/>
      </c:barChart>
      <c:catAx>
        <c:axId val="822035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22042127"/>
        <c:crosses val="autoZero"/>
        <c:auto val="1"/>
        <c:lblAlgn val="ctr"/>
        <c:lblOffset val="100"/>
        <c:noMultiLvlLbl val="0"/>
      </c:catAx>
      <c:valAx>
        <c:axId val="822042127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8220354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[Proyecto_Ventas.xlsm]Dashboard!TablaDinámica9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TOP 5 - PRODUCTOS VENDIDOS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accent6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Dashboard!$AB$8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Dashboard!$AA$9:$AA$13</c:f>
              <c:strCache>
                <c:ptCount val="5"/>
                <c:pt idx="0">
                  <c:v>Impresora Laser</c:v>
                </c:pt>
                <c:pt idx="1">
                  <c:v>Smartphone Plus</c:v>
                </c:pt>
                <c:pt idx="2">
                  <c:v>Monitor 24'</c:v>
                </c:pt>
                <c:pt idx="3">
                  <c:v>Auriculares Bluetooth</c:v>
                </c:pt>
                <c:pt idx="4">
                  <c:v>Teclado Mecánico</c:v>
                </c:pt>
              </c:strCache>
            </c:strRef>
          </c:cat>
          <c:val>
            <c:numRef>
              <c:f>Dashboard!$AB$9:$AB$13</c:f>
              <c:numCache>
                <c:formatCode>General</c:formatCode>
                <c:ptCount val="5"/>
                <c:pt idx="0">
                  <c:v>535</c:v>
                </c:pt>
                <c:pt idx="1">
                  <c:v>583</c:v>
                </c:pt>
                <c:pt idx="2">
                  <c:v>636</c:v>
                </c:pt>
                <c:pt idx="3">
                  <c:v>641</c:v>
                </c:pt>
                <c:pt idx="4">
                  <c:v>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D6-40A6-8375-02A312058B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472952719"/>
        <c:axId val="472951279"/>
      </c:barChart>
      <c:catAx>
        <c:axId val="4729527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72951279"/>
        <c:crosses val="autoZero"/>
        <c:auto val="1"/>
        <c:lblAlgn val="ctr"/>
        <c:lblOffset val="100"/>
        <c:noMultiLvlLbl val="0"/>
      </c:catAx>
      <c:valAx>
        <c:axId val="47295127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72952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104775</xdr:rowOff>
        </xdr:from>
        <xdr:to>
          <xdr:col>14</xdr:col>
          <xdr:colOff>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75174</xdr:colOff>
      <xdr:row>3</xdr:row>
      <xdr:rowOff>1</xdr:rowOff>
    </xdr:from>
    <xdr:to>
      <xdr:col>7</xdr:col>
      <xdr:colOff>772741</xdr:colOff>
      <xdr:row>8</xdr:row>
      <xdr:rowOff>4695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Vendedor">
              <a:extLst>
                <a:ext uri="{FF2B5EF4-FFF2-40B4-BE49-F238E27FC236}">
                  <a16:creationId xmlns:a16="http://schemas.microsoft.com/office/drawing/2014/main" id="{D4BE9BEC-F57F-CBD9-176D-BBEB1DEEA63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9174" y="571501"/>
              <a:ext cx="4843743" cy="968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18679</xdr:colOff>
      <xdr:row>3</xdr:row>
      <xdr:rowOff>1</xdr:rowOff>
    </xdr:from>
    <xdr:to>
      <xdr:col>10</xdr:col>
      <xdr:colOff>762002</xdr:colOff>
      <xdr:row>8</xdr:row>
      <xdr:rowOff>2776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Región">
              <a:extLst>
                <a:ext uri="{FF2B5EF4-FFF2-40B4-BE49-F238E27FC236}">
                  <a16:creationId xmlns:a16="http://schemas.microsoft.com/office/drawing/2014/main" id="{306D0A46-C389-8269-DB75-215C280FDDC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ó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18091" y="571501"/>
              <a:ext cx="2401793" cy="9664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3</xdr:row>
      <xdr:rowOff>1</xdr:rowOff>
    </xdr:from>
    <xdr:to>
      <xdr:col>2</xdr:col>
      <xdr:colOff>0</xdr:colOff>
      <xdr:row>7</xdr:row>
      <xdr:rowOff>150720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5" name="Fecha">
              <a:extLst>
                <a:ext uri="{FF2B5EF4-FFF2-40B4-BE49-F238E27FC236}">
                  <a16:creationId xmlns:a16="http://schemas.microsoft.com/office/drawing/2014/main" id="{02BAAA1F-612E-B03F-6687-6384BCD00F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Fech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71501"/>
              <a:ext cx="1524000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8</xdr:row>
      <xdr:rowOff>61912</xdr:rowOff>
    </xdr:from>
    <xdr:to>
      <xdr:col>10</xdr:col>
      <xdr:colOff>762002</xdr:colOff>
      <xdr:row>17</xdr:row>
      <xdr:rowOff>57150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2E8A2BD-6366-BC40-5212-F03E79E01C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17</xdr:row>
      <xdr:rowOff>119061</xdr:rowOff>
    </xdr:from>
    <xdr:to>
      <xdr:col>3</xdr:col>
      <xdr:colOff>761999</xdr:colOff>
      <xdr:row>31</xdr:row>
      <xdr:rowOff>861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AFC4D38-B1D1-EB20-3FB9-D192F616D4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</xdr:colOff>
      <xdr:row>17</xdr:row>
      <xdr:rowOff>119061</xdr:rowOff>
    </xdr:from>
    <xdr:to>
      <xdr:col>8</xdr:col>
      <xdr:colOff>762003</xdr:colOff>
      <xdr:row>31</xdr:row>
      <xdr:rowOff>861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C652195-1AC8-D433-F6AB-444FB78DFF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</xdr:colOff>
      <xdr:row>17</xdr:row>
      <xdr:rowOff>119060</xdr:rowOff>
    </xdr:from>
    <xdr:to>
      <xdr:col>14</xdr:col>
      <xdr:colOff>1</xdr:colOff>
      <xdr:row>30</xdr:row>
      <xdr:rowOff>190499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EC20239A-E1D9-7ECF-4750-6B0C276F10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5602</xdr:colOff>
      <xdr:row>8</xdr:row>
      <xdr:rowOff>61912</xdr:rowOff>
    </xdr:from>
    <xdr:to>
      <xdr:col>14</xdr:col>
      <xdr:colOff>0</xdr:colOff>
      <xdr:row>17</xdr:row>
      <xdr:rowOff>57412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8705D2BC-1F01-16AC-0BB0-150D2F7049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Domínguez" refreshedDate="45959.752882407411" createdVersion="8" refreshedVersion="8" minRefreshableVersion="3" recordCount="1000" xr:uid="{6B10E315-9998-468B-A429-0774A116095F}">
  <cacheSource type="worksheet">
    <worksheetSource name="TablaVentas"/>
  </cacheSource>
  <cacheFields count="16">
    <cacheField name="Fecha" numFmtId="14">
      <sharedItems containsSemiMixedTypes="0" containsNonDate="0" containsDate="1" containsString="0" minDate="2023-01-01T00:00:00" maxDate="2024-12-31T00:00:00" count="548">
        <d v="2023-01-01T00:00:00"/>
        <d v="2023-01-02T00:00:00"/>
        <d v="2023-01-03T00:00:00"/>
        <d v="2023-01-04T00:00:00"/>
        <d v="2023-01-05T00:00:00"/>
        <d v="2023-01-06T00:00:00"/>
        <d v="2023-01-08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21T00:00:00"/>
        <d v="2023-01-22T00:00:00"/>
        <d v="2023-01-23T00:00:00"/>
        <d v="2023-01-24T00:00:00"/>
        <d v="2023-01-25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6T00:00:00"/>
        <d v="2023-02-08T00:00:00"/>
        <d v="2023-02-10T00:00:00"/>
        <d v="2023-02-11T00:00:00"/>
        <d v="2023-02-13T00:00:00"/>
        <d v="2023-02-14T00:00:00"/>
        <d v="2023-02-16T00:00:00"/>
        <d v="2023-02-18T00:00:00"/>
        <d v="2023-02-19T00:00:00"/>
        <d v="2023-02-20T00:00:00"/>
        <d v="2023-02-21T00:00:00"/>
        <d v="2023-02-22T00:00:00"/>
        <d v="2023-02-23T00:00:00"/>
        <d v="2023-02-25T00:00:00"/>
        <d v="2023-02-27T00:00:00"/>
        <d v="2023-02-28T00:00:00"/>
        <d v="2023-03-01T00:00:00"/>
        <d v="2023-03-02T00:00:00"/>
        <d v="2023-03-03T00:00:00"/>
        <d v="2023-03-04T00:00:00"/>
        <d v="2023-03-05T00:00:00"/>
        <d v="2023-03-08T00:00:00"/>
        <d v="2023-03-10T00:00:00"/>
        <d v="2023-03-11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5T00:00:00"/>
        <d v="2023-03-26T00:00:00"/>
        <d v="2023-03-27T00:00:00"/>
        <d v="2023-03-28T00:00:00"/>
        <d v="2023-03-30T00:00:00"/>
        <d v="2023-03-31T00:00:00"/>
        <d v="2023-04-01T00:00:00"/>
        <d v="2023-04-03T00:00:00"/>
        <d v="2023-04-04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4T00:00:00"/>
        <d v="2023-04-17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5T00:00:00"/>
        <d v="2023-05-06T00:00:00"/>
        <d v="2023-05-07T00:00:00"/>
        <d v="2023-05-08T00:00:00"/>
        <d v="2023-05-09T00:00:00"/>
        <d v="2023-05-11T00:00:00"/>
        <d v="2023-05-13T00:00:00"/>
        <d v="2023-05-14T00:00:00"/>
        <d v="2023-05-15T00:00:00"/>
        <d v="2023-05-16T00:00:00"/>
        <d v="2023-05-17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30T00:00:00"/>
        <d v="2023-05-31T00:00:00"/>
        <d v="2023-06-01T00:00:00"/>
        <d v="2023-06-02T00:00:00"/>
        <d v="2023-06-03T00:00:00"/>
        <d v="2023-06-04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3T00:00:00"/>
        <d v="2023-06-24T00:00:00"/>
        <d v="2023-06-26T00:00:00"/>
        <d v="2023-06-27T00:00:00"/>
        <d v="2023-06-30T00:00:00"/>
        <d v="2023-07-01T00:00:00"/>
        <d v="2023-07-02T00:00:00"/>
        <d v="2023-07-03T00:00:00"/>
        <d v="2023-07-05T00:00:00"/>
        <d v="2023-07-06T00:00:00"/>
        <d v="2023-07-08T00:00:00"/>
        <d v="2023-07-10T00:00:00"/>
        <d v="2023-07-11T00:00:00"/>
        <d v="2023-07-12T00:00:00"/>
        <d v="2023-07-13T00:00:00"/>
        <d v="2023-07-15T00:00:00"/>
        <d v="2023-07-16T00:00:00"/>
        <d v="2023-07-17T00:00:00"/>
        <d v="2023-07-18T00:00:00"/>
        <d v="2023-07-19T00:00:00"/>
        <d v="2023-07-20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8-01T00:00:00"/>
        <d v="2023-08-02T00:00:00"/>
        <d v="2023-08-03T00:00:00"/>
        <d v="2023-08-04T00:00:00"/>
        <d v="2023-08-05T00:00:00"/>
        <d v="2023-08-07T00:00:00"/>
        <d v="2023-08-10T00:00:00"/>
        <d v="2023-08-11T00:00:00"/>
        <d v="2023-08-12T00:00:00"/>
        <d v="2023-08-14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5T00:00:00"/>
        <d v="2023-08-27T00:00:00"/>
        <d v="2023-08-29T00:00:00"/>
        <d v="2023-08-30T00:00:00"/>
        <d v="2023-08-31T00:00:00"/>
        <d v="2023-09-01T00:00:00"/>
        <d v="2023-09-03T00:00:00"/>
        <d v="2023-09-07T00:00:00"/>
        <d v="2023-09-08T00:00:00"/>
        <d v="2023-09-10T00:00:00"/>
        <d v="2023-09-11T00:00:00"/>
        <d v="2023-09-12T00:00:00"/>
        <d v="2023-09-13T00:00:00"/>
        <d v="2023-09-14T00:00:00"/>
        <d v="2023-09-15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6T00:00:00"/>
        <d v="2023-09-29T00:00:00"/>
        <d v="2023-09-30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4T00:00:00"/>
        <d v="2023-10-15T00:00:00"/>
        <d v="2023-10-16T00:00:00"/>
        <d v="2023-10-17T00:00:00"/>
        <d v="2023-10-19T00:00:00"/>
        <d v="2023-10-20T00:00:00"/>
        <d v="2023-10-21T00:00:00"/>
        <d v="2023-10-22T00:00:00"/>
        <d v="2023-10-23T00:00:00"/>
        <d v="2023-10-24T00:00:00"/>
        <d v="2023-10-25T00:00:00"/>
        <d v="2023-10-26T00:00:00"/>
        <d v="2023-10-29T00:00:00"/>
        <d v="2023-10-31T00:00:00"/>
        <d v="2023-11-02T00:00:00"/>
        <d v="2023-11-03T00:00:00"/>
        <d v="2023-11-04T00:00:00"/>
        <d v="2023-11-05T00:00:00"/>
        <d v="2023-11-06T00:00:00"/>
        <d v="2023-11-07T00:00:00"/>
        <d v="2023-11-11T00:00:00"/>
        <d v="2023-11-13T00:00:00"/>
        <d v="2023-11-15T00:00:00"/>
        <d v="2023-11-16T00:00:00"/>
        <d v="2023-11-17T00:00:00"/>
        <d v="2023-11-18T00:00:00"/>
        <d v="2023-11-19T00:00:00"/>
        <d v="2023-11-20T00:00:00"/>
        <d v="2023-11-22T00:00:00"/>
        <d v="2023-11-24T00:00:00"/>
        <d v="2023-11-25T00:00:00"/>
        <d v="2023-11-26T00:00:00"/>
        <d v="2023-11-27T00:00:00"/>
        <d v="2023-11-28T00:00:00"/>
        <d v="2023-11-29T00:00:00"/>
        <d v="2023-12-02T00:00:00"/>
        <d v="2023-12-04T00:00:00"/>
        <d v="2023-12-05T00:00:00"/>
        <d v="2023-12-06T00:00:00"/>
        <d v="2023-12-07T00:00:00"/>
        <d v="2023-12-08T00:00:00"/>
        <d v="2023-12-10T00:00:00"/>
        <d v="2023-12-12T00:00:00"/>
        <d v="2023-12-14T00:00:00"/>
        <d v="2023-12-15T00:00:00"/>
        <d v="2023-12-16T00:00:00"/>
        <d v="2023-12-17T00:00:00"/>
        <d v="2023-12-19T00:00:00"/>
        <d v="2023-12-20T00:00:00"/>
        <d v="2023-12-22T00:00:00"/>
        <d v="2023-12-25T00:00:00"/>
        <d v="2023-12-26T00:00:00"/>
        <d v="2023-12-27T00:00:00"/>
        <d v="2023-12-28T00:00:00"/>
        <d v="2023-12-29T00:00:00"/>
        <d v="2023-12-30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4T00:00:00"/>
        <d v="2024-01-15T00:00:00"/>
        <d v="2024-01-17T00:00:00"/>
        <d v="2024-01-19T00:00:00"/>
        <d v="2024-01-20T00:00:00"/>
        <d v="2024-01-21T00:00:00"/>
        <d v="2024-01-22T00:00:00"/>
        <d v="2024-01-23T00:00:00"/>
        <d v="2024-01-26T00:00:00"/>
        <d v="2024-01-27T00:00:00"/>
        <d v="2024-01-30T00:00:00"/>
        <d v="2024-01-31T00:00:00"/>
        <d v="2024-02-02T00:00:00"/>
        <d v="2024-02-03T00:00:00"/>
        <d v="2024-02-04T00:00:00"/>
        <d v="2024-02-06T00:00:00"/>
        <d v="2024-02-09T00:00:00"/>
        <d v="2024-02-12T00:00:00"/>
        <d v="2024-02-13T00:00:00"/>
        <d v="2024-02-14T00:00:00"/>
        <d v="2024-02-15T00:00:00"/>
        <d v="2024-02-18T00:00:00"/>
        <d v="2024-02-20T00:00:00"/>
        <d v="2024-02-21T00:00:00"/>
        <d v="2024-02-22T00:00:00"/>
        <d v="2024-02-23T00:00:00"/>
        <d v="2024-02-25T00:00:00"/>
        <d v="2024-02-26T00:00:00"/>
        <d v="2024-02-27T00:00:00"/>
        <d v="2024-02-28T00:00:00"/>
        <d v="2024-02-29T00:00:00"/>
        <d v="2024-03-01T00:00:00"/>
        <d v="2024-03-03T00:00:00"/>
        <d v="2024-03-04T00:00:00"/>
        <d v="2024-03-08T00:00:00"/>
        <d v="2024-03-09T00:00:00"/>
        <d v="2024-03-10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3T00:00:00"/>
        <d v="2024-03-26T00:00:00"/>
        <d v="2024-03-28T00:00:00"/>
        <d v="2024-03-30T00:00:00"/>
        <d v="2024-03-31T00:00:00"/>
        <d v="2024-04-01T00:00:00"/>
        <d v="2024-04-02T00:00:00"/>
        <d v="2024-04-03T00:00:00"/>
        <d v="2024-04-04T00:00:00"/>
        <d v="2024-04-06T00:00:00"/>
        <d v="2024-04-07T00:00:00"/>
        <d v="2024-04-08T00:00:00"/>
        <d v="2024-04-11T00:00:00"/>
        <d v="2024-04-12T00:00:00"/>
        <d v="2024-04-13T00:00:00"/>
        <d v="2024-04-14T00:00:00"/>
        <d v="2024-04-16T00:00:00"/>
        <d v="2024-04-20T00:00:00"/>
        <d v="2024-04-21T00:00:00"/>
        <d v="2024-04-22T00:00:00"/>
        <d v="2024-04-23T00:00:00"/>
        <d v="2024-04-24T00:00:00"/>
        <d v="2024-04-27T00:00:00"/>
        <d v="2024-04-29T00:00:00"/>
        <d v="2024-04-30T00:00:00"/>
        <d v="2024-05-01T00:00:00"/>
        <d v="2024-05-02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3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9T00:00:00"/>
        <d v="2024-06-10T00:00:00"/>
        <d v="2024-06-11T00:00:00"/>
        <d v="2024-06-12T00:00:00"/>
        <d v="2024-06-14T00:00:00"/>
        <d v="2024-06-15T00:00:00"/>
        <d v="2024-06-16T00:00:00"/>
        <d v="2024-06-17T00:00:00"/>
        <d v="2024-06-18T00:00:00"/>
        <d v="2024-06-20T00:00:00"/>
        <d v="2024-06-22T00:00:00"/>
        <d v="2024-06-23T00:00:00"/>
        <d v="2024-06-25T00:00:00"/>
        <d v="2024-06-28T00:00:00"/>
        <d v="2024-06-29T00:00:00"/>
        <d v="2024-06-30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09T00:00:00"/>
        <d v="2024-07-11T00:00:00"/>
        <d v="2024-07-13T00:00:00"/>
        <d v="2024-07-14T00:00:00"/>
        <d v="2024-07-15T00:00:00"/>
        <d v="2024-07-16T00:00:00"/>
        <d v="2024-07-17T00:00:00"/>
        <d v="2024-07-19T00:00:00"/>
        <d v="2024-07-20T00:00:00"/>
        <d v="2024-07-21T00:00:00"/>
        <d v="2024-07-23T00:00:00"/>
        <d v="2024-07-25T00:00:00"/>
        <d v="2024-07-28T00:00:00"/>
        <d v="2024-07-29T00:00:00"/>
        <d v="2024-07-30T00:00:00"/>
        <d v="2024-07-31T00:00:00"/>
        <d v="2024-08-02T00:00:00"/>
        <d v="2024-08-03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5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5T00:00:00"/>
        <d v="2024-08-26T00:00:00"/>
        <d v="2024-08-28T00:00:00"/>
        <d v="2024-08-29T00:00:00"/>
        <d v="2024-08-30T00:00:00"/>
        <d v="2024-08-31T00:00:00"/>
        <d v="2024-09-02T00:00:00"/>
        <d v="2024-09-03T00:00:00"/>
        <d v="2024-09-05T00:00:00"/>
        <d v="2024-09-06T00:00:00"/>
        <d v="2024-09-08T00:00:00"/>
        <d v="2024-09-09T00:00:00"/>
        <d v="2024-09-10T00:00:00"/>
        <d v="2024-09-11T00:00:00"/>
        <d v="2024-09-12T00:00:00"/>
        <d v="2024-09-13T00:00:00"/>
        <d v="2024-09-14T00:00:00"/>
        <d v="2024-09-16T00:00:00"/>
        <d v="2024-09-17T00:00:00"/>
        <d v="2024-09-20T00:00:00"/>
        <d v="2024-09-21T00:00:00"/>
        <d v="2024-09-24T00:00:00"/>
        <d v="2024-09-25T00:00:00"/>
        <d v="2024-09-27T00:00:00"/>
        <d v="2024-09-28T00:00:00"/>
        <d v="2024-09-29T00:00:00"/>
        <d v="2024-09-30T00:00:00"/>
        <d v="2024-10-01T00:00:00"/>
        <d v="2024-10-02T00:00:00"/>
        <d v="2024-10-03T00:00:00"/>
        <d v="2024-10-08T00:00:00"/>
        <d v="2024-10-09T00:00:00"/>
        <d v="2024-10-11T00:00:00"/>
        <d v="2024-10-12T00:00:00"/>
        <d v="2024-10-14T00:00:00"/>
        <d v="2024-10-15T00:00:00"/>
        <d v="2024-10-16T00:00:00"/>
        <d v="2024-10-17T00:00:00"/>
        <d v="2024-10-18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31T00:00:00"/>
        <d v="2024-11-01T00:00:00"/>
        <d v="2024-11-03T00:00:00"/>
        <d v="2024-11-04T00:00:00"/>
        <d v="2024-11-05T00:00:00"/>
        <d v="2024-11-06T00:00:00"/>
        <d v="2024-11-08T00:00:00"/>
        <d v="2024-11-10T00:00:00"/>
        <d v="2024-11-12T00:00:00"/>
        <d v="2024-11-13T00:00:00"/>
        <d v="2024-11-14T00:00:00"/>
        <d v="2024-11-16T00:00:00"/>
        <d v="2024-11-17T00:00:00"/>
        <d v="2024-11-18T00:00:00"/>
        <d v="2024-11-19T00:00:00"/>
        <d v="2024-11-20T00:00:00"/>
        <d v="2024-11-22T00:00:00"/>
        <d v="2024-11-24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5T00:00:00"/>
        <d v="2024-12-06T00:00:00"/>
        <d v="2024-12-07T00:00:00"/>
        <d v="2024-12-08T00:00:00"/>
        <d v="2024-12-10T00:00:00"/>
        <d v="2024-12-11T00:00:00"/>
        <d v="2024-12-12T00:00:00"/>
        <d v="2024-12-13T00:00:00"/>
        <d v="2024-12-14T00:00:00"/>
        <d v="2024-12-15T00:00:00"/>
        <d v="2024-12-16T00:00:00"/>
        <d v="2024-12-17T00:00:00"/>
        <d v="2024-12-19T00:00:00"/>
        <d v="2024-12-20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</sharedItems>
      <fieldGroup par="13"/>
    </cacheField>
    <cacheField name="Producto" numFmtId="0">
      <sharedItems count="10">
        <s v="Impresora Laser"/>
        <s v="Monitor 24'"/>
        <s v="Auriculares Bluetooth"/>
        <s v="Webcam HD"/>
        <s v="Mouse Inalámbrico"/>
        <s v="Smartphone Plus"/>
        <s v="Tablet Pro"/>
        <s v="Teclado Mecánico"/>
        <s v="Laptop Elite"/>
        <s v="Disco Duro 1TB"/>
      </sharedItems>
    </cacheField>
    <cacheField name="Categoría" numFmtId="0">
      <sharedItems count="4">
        <s v="Almacenamiento"/>
        <s v="Periféricos"/>
        <s v="Mobile"/>
        <s v="Computación"/>
      </sharedItems>
    </cacheField>
    <cacheField name="Vendedor" numFmtId="0">
      <sharedItems count="8">
        <s v="Ana García"/>
        <s v="María Rodríguez"/>
        <s v="Diego Pérez"/>
        <s v="Javier Sánchez"/>
        <s v="Laura González"/>
        <s v="Sofía Hernández"/>
        <s v="Pedro Martínez"/>
        <s v="Carlos López"/>
      </sharedItems>
    </cacheField>
    <cacheField name="Región" numFmtId="0">
      <sharedItems count="5">
        <s v="Sur"/>
        <s v="Norte"/>
        <s v="Centro"/>
        <s v="Oeste"/>
        <s v="Este"/>
      </sharedItems>
    </cacheField>
    <cacheField name="Cantidad" numFmtId="0">
      <sharedItems containsSemiMixedTypes="0" containsString="0" containsNumber="1" containsInteger="1" minValue="1" maxValue="10"/>
    </cacheField>
    <cacheField name="Precio Unitario" numFmtId="0">
      <sharedItems containsSemiMixedTypes="0" containsString="0" containsNumber="1" minValue="38.39" maxValue="1379.9"/>
    </cacheField>
    <cacheField name="Costo Unitario" numFmtId="0">
      <sharedItems containsSemiMixedTypes="0" containsString="0" containsNumber="1" minValue="22.5" maxValue="934.55"/>
    </cacheField>
    <cacheField name="Total Venta" numFmtId="0">
      <sharedItems containsSemiMixedTypes="0" containsString="0" containsNumber="1" minValue="38.94" maxValue="13799"/>
    </cacheField>
    <cacheField name="Total Costo" numFmtId="0">
      <sharedItems containsSemiMixedTypes="0" containsString="0" containsNumber="1" minValue="22.5" maxValue="9127.2999999999993"/>
    </cacheField>
    <cacheField name="Margen Producto" numFmtId="0">
      <sharedItems containsSemiMixedTypes="0" containsString="0" containsNumber="1" minValue="13.470000000000002" maxValue="5807.1"/>
    </cacheField>
    <cacheField name="Meses (Fecha)" numFmtId="0" databaseField="0">
      <fieldGroup base="0">
        <rangePr groupBy="months" startDate="2023-01-01T00:00:00" endDate="2024-12-31T00:00:00"/>
        <groupItems count="14">
          <s v="&lt;1/01/2023"/>
          <s v="Ene"/>
          <s v="Feb"/>
          <s v="Mar"/>
          <s v="Abr"/>
          <s v="May"/>
          <s v="Jun"/>
          <s v="Jul"/>
          <s v="Ago"/>
          <s v="Set"/>
          <s v="Oct"/>
          <s v="Nov"/>
          <s v="Dic"/>
          <s v="&gt;31/12/2024"/>
        </groupItems>
      </fieldGroup>
    </cacheField>
    <cacheField name="Trimestres (Fecha)" numFmtId="0" databaseField="0">
      <fieldGroup base="0">
        <rangePr groupBy="quarters" startDate="2023-01-01T00:00:00" endDate="2024-12-31T00:00:00"/>
        <groupItems count="6">
          <s v="&lt;1/01/2023"/>
          <s v="Trim.1"/>
          <s v="Trim.2"/>
          <s v="Trim.3"/>
          <s v="Trim.4"/>
          <s v="&gt;31/12/2024"/>
        </groupItems>
      </fieldGroup>
    </cacheField>
    <cacheField name="Años (Fecha)" numFmtId="0" databaseField="0">
      <fieldGroup base="0">
        <rangePr groupBy="years" startDate="2023-01-01T00:00:00" endDate="2024-12-31T00:00:00"/>
        <groupItems count="4">
          <s v="&lt;1/01/2023"/>
          <s v="2023"/>
          <s v="2024"/>
          <s v="&gt;31/12/2024"/>
        </groupItems>
      </fieldGroup>
    </cacheField>
    <cacheField name="margen_bruto" numFmtId="0" formula="(SUM('Total Venta')-SUM('Total Costo')) / SUM('Total Venta')" databaseField="0"/>
    <cacheField name="Utilidad Neta" numFmtId="0" formula="SUM('Margen Producto')" databaseField="0"/>
  </cacheFields>
  <extLst>
    <ext xmlns:x14="http://schemas.microsoft.com/office/spreadsheetml/2009/9/main" uri="{725AE2AE-9491-48be-B2B4-4EB974FC3084}">
      <x14:pivotCacheDefinition pivotCacheId="94649600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x v="0"/>
    <x v="0"/>
    <x v="0"/>
    <x v="0"/>
    <n v="1"/>
    <n v="257.77999999999997"/>
    <n v="176.22"/>
    <n v="257.77999999999997"/>
    <n v="176.22"/>
    <n v="81.559999999999974"/>
  </r>
  <r>
    <x v="1"/>
    <x v="1"/>
    <x v="1"/>
    <x v="1"/>
    <x v="1"/>
    <n v="2"/>
    <n v="364.79"/>
    <n v="209.7"/>
    <n v="729.58"/>
    <n v="419.4"/>
    <n v="310.18000000000006"/>
  </r>
  <r>
    <x v="2"/>
    <x v="2"/>
    <x v="2"/>
    <x v="2"/>
    <x v="0"/>
    <n v="5"/>
    <n v="84.12"/>
    <n v="45.21"/>
    <n v="420.6"/>
    <n v="226.05"/>
    <n v="194.55"/>
  </r>
  <r>
    <x v="2"/>
    <x v="0"/>
    <x v="0"/>
    <x v="1"/>
    <x v="1"/>
    <n v="7"/>
    <n v="276.08"/>
    <n v="196.63"/>
    <n v="1932.56"/>
    <n v="1376.4099999999999"/>
    <n v="556.15000000000009"/>
  </r>
  <r>
    <x v="2"/>
    <x v="3"/>
    <x v="0"/>
    <x v="3"/>
    <x v="2"/>
    <n v="1"/>
    <n v="52.7"/>
    <n v="37.43"/>
    <n v="52.7"/>
    <n v="37.43"/>
    <n v="15.270000000000003"/>
  </r>
  <r>
    <x v="2"/>
    <x v="2"/>
    <x v="2"/>
    <x v="2"/>
    <x v="0"/>
    <n v="7"/>
    <n v="80.38"/>
    <n v="44.26"/>
    <n v="562.66"/>
    <n v="309.82"/>
    <n v="252.83999999999997"/>
  </r>
  <r>
    <x v="2"/>
    <x v="0"/>
    <x v="0"/>
    <x v="4"/>
    <x v="3"/>
    <n v="6"/>
    <n v="279.2"/>
    <n v="197.71"/>
    <n v="1675.1999999999998"/>
    <n v="1186.26"/>
    <n v="488.93999999999983"/>
  </r>
  <r>
    <x v="3"/>
    <x v="2"/>
    <x v="2"/>
    <x v="3"/>
    <x v="0"/>
    <n v="6"/>
    <n v="67.42"/>
    <n v="46.52"/>
    <n v="404.52"/>
    <n v="279.12"/>
    <n v="125.39999999999998"/>
  </r>
  <r>
    <x v="3"/>
    <x v="4"/>
    <x v="3"/>
    <x v="5"/>
    <x v="4"/>
    <n v="8"/>
    <n v="44.62"/>
    <n v="22.88"/>
    <n v="356.96"/>
    <n v="183.04"/>
    <n v="173.92"/>
  </r>
  <r>
    <x v="4"/>
    <x v="4"/>
    <x v="3"/>
    <x v="3"/>
    <x v="3"/>
    <n v="5"/>
    <n v="50.52"/>
    <n v="26.17"/>
    <n v="252.60000000000002"/>
    <n v="130.85000000000002"/>
    <n v="121.75"/>
  </r>
  <r>
    <x v="5"/>
    <x v="5"/>
    <x v="2"/>
    <x v="4"/>
    <x v="3"/>
    <n v="6"/>
    <n v="732.14"/>
    <n v="443.82"/>
    <n v="4392.84"/>
    <n v="2662.92"/>
    <n v="1729.92"/>
  </r>
  <r>
    <x v="6"/>
    <x v="4"/>
    <x v="3"/>
    <x v="6"/>
    <x v="1"/>
    <n v="10"/>
    <n v="50.02"/>
    <n v="25.41"/>
    <n v="500.20000000000005"/>
    <n v="254.1"/>
    <n v="246.10000000000005"/>
  </r>
  <r>
    <x v="6"/>
    <x v="2"/>
    <x v="2"/>
    <x v="4"/>
    <x v="4"/>
    <n v="5"/>
    <n v="66.06"/>
    <n v="44.28"/>
    <n v="330.3"/>
    <n v="221.4"/>
    <n v="108.9"/>
  </r>
  <r>
    <x v="7"/>
    <x v="3"/>
    <x v="0"/>
    <x v="7"/>
    <x v="2"/>
    <n v="5"/>
    <n v="49.55"/>
    <n v="33.51"/>
    <n v="247.75"/>
    <n v="167.54999999999998"/>
    <n v="80.200000000000017"/>
  </r>
  <r>
    <x v="7"/>
    <x v="6"/>
    <x v="1"/>
    <x v="0"/>
    <x v="2"/>
    <n v="9"/>
    <n v="412.37"/>
    <n v="284.43"/>
    <n v="3711.33"/>
    <n v="2559.87"/>
    <n v="1151.46"/>
  </r>
  <r>
    <x v="8"/>
    <x v="2"/>
    <x v="2"/>
    <x v="2"/>
    <x v="1"/>
    <n v="10"/>
    <n v="65.41"/>
    <n v="43.14"/>
    <n v="654.09999999999991"/>
    <n v="431.4"/>
    <n v="222.69999999999993"/>
  </r>
  <r>
    <x v="8"/>
    <x v="5"/>
    <x v="2"/>
    <x v="1"/>
    <x v="1"/>
    <n v="9"/>
    <n v="600.21"/>
    <n v="510.36"/>
    <n v="5401.89"/>
    <n v="4593.24"/>
    <n v="808.65000000000055"/>
  </r>
  <r>
    <x v="9"/>
    <x v="1"/>
    <x v="1"/>
    <x v="3"/>
    <x v="0"/>
    <n v="4"/>
    <n v="286.3"/>
    <n v="202.56"/>
    <n v="1145.2"/>
    <n v="810.24"/>
    <n v="334.96000000000004"/>
  </r>
  <r>
    <x v="10"/>
    <x v="6"/>
    <x v="1"/>
    <x v="2"/>
    <x v="3"/>
    <n v="9"/>
    <n v="494.08"/>
    <n v="311.77999999999997"/>
    <n v="4446.72"/>
    <n v="2806.0199999999995"/>
    <n v="1640.7000000000007"/>
  </r>
  <r>
    <x v="11"/>
    <x v="4"/>
    <x v="3"/>
    <x v="6"/>
    <x v="4"/>
    <n v="6"/>
    <n v="48.79"/>
    <n v="22.71"/>
    <n v="292.74"/>
    <n v="136.26"/>
    <n v="156.48000000000002"/>
  </r>
  <r>
    <x v="12"/>
    <x v="0"/>
    <x v="0"/>
    <x v="4"/>
    <x v="4"/>
    <n v="10"/>
    <n v="275.56"/>
    <n v="200.34"/>
    <n v="2755.6"/>
    <n v="2003.4"/>
    <n v="752.19999999999982"/>
  </r>
  <r>
    <x v="13"/>
    <x v="2"/>
    <x v="2"/>
    <x v="7"/>
    <x v="1"/>
    <n v="9"/>
    <n v="67.12"/>
    <n v="44.5"/>
    <n v="604.08000000000004"/>
    <n v="400.5"/>
    <n v="203.58000000000004"/>
  </r>
  <r>
    <x v="13"/>
    <x v="5"/>
    <x v="2"/>
    <x v="4"/>
    <x v="2"/>
    <n v="10"/>
    <n v="669.94"/>
    <n v="439.97"/>
    <n v="6699.4000000000005"/>
    <n v="4399.7000000000007"/>
    <n v="2299.6999999999998"/>
  </r>
  <r>
    <x v="14"/>
    <x v="5"/>
    <x v="2"/>
    <x v="2"/>
    <x v="4"/>
    <n v="7"/>
    <n v="680.5"/>
    <n v="481.32"/>
    <n v="4763.5"/>
    <n v="3369.24"/>
    <n v="1394.2600000000002"/>
  </r>
  <r>
    <x v="15"/>
    <x v="4"/>
    <x v="3"/>
    <x v="7"/>
    <x v="4"/>
    <n v="7"/>
    <n v="48.11"/>
    <n v="24.83"/>
    <n v="336.77"/>
    <n v="173.81"/>
    <n v="162.95999999999998"/>
  </r>
  <r>
    <x v="15"/>
    <x v="7"/>
    <x v="3"/>
    <x v="7"/>
    <x v="1"/>
    <n v="9"/>
    <n v="89.37"/>
    <n v="47.75"/>
    <n v="804.33"/>
    <n v="429.75"/>
    <n v="374.58000000000004"/>
  </r>
  <r>
    <x v="16"/>
    <x v="2"/>
    <x v="2"/>
    <x v="5"/>
    <x v="4"/>
    <n v="9"/>
    <n v="63.86"/>
    <n v="41.03"/>
    <n v="574.74"/>
    <n v="369.27"/>
    <n v="205.47000000000003"/>
  </r>
  <r>
    <x v="17"/>
    <x v="8"/>
    <x v="3"/>
    <x v="5"/>
    <x v="1"/>
    <n v="1"/>
    <n v="1161.94"/>
    <n v="863.77"/>
    <n v="1161.94"/>
    <n v="863.77"/>
    <n v="298.17000000000007"/>
  </r>
  <r>
    <x v="18"/>
    <x v="7"/>
    <x v="3"/>
    <x v="1"/>
    <x v="0"/>
    <n v="10"/>
    <n v="87.02"/>
    <n v="55.5"/>
    <n v="870.19999999999993"/>
    <n v="555"/>
    <n v="315.19999999999993"/>
  </r>
  <r>
    <x v="19"/>
    <x v="7"/>
    <x v="3"/>
    <x v="7"/>
    <x v="0"/>
    <n v="10"/>
    <n v="92.6"/>
    <n v="55.92"/>
    <n v="926"/>
    <n v="559.20000000000005"/>
    <n v="366.79999999999995"/>
  </r>
  <r>
    <x v="19"/>
    <x v="3"/>
    <x v="0"/>
    <x v="7"/>
    <x v="1"/>
    <n v="2"/>
    <n v="54.49"/>
    <n v="33.03"/>
    <n v="108.98"/>
    <n v="66.06"/>
    <n v="42.92"/>
  </r>
  <r>
    <x v="20"/>
    <x v="8"/>
    <x v="3"/>
    <x v="5"/>
    <x v="2"/>
    <n v="10"/>
    <n v="1355.51"/>
    <n v="774.8"/>
    <n v="13555.1"/>
    <n v="7748"/>
    <n v="5807.1"/>
  </r>
  <r>
    <x v="21"/>
    <x v="1"/>
    <x v="1"/>
    <x v="3"/>
    <x v="1"/>
    <n v="3"/>
    <n v="278.44"/>
    <n v="224.08"/>
    <n v="835.31999999999994"/>
    <n v="672.24"/>
    <n v="163.07999999999993"/>
  </r>
  <r>
    <x v="22"/>
    <x v="8"/>
    <x v="3"/>
    <x v="4"/>
    <x v="2"/>
    <n v="5"/>
    <n v="1157.94"/>
    <n v="767.8"/>
    <n v="5789.7000000000007"/>
    <n v="3839"/>
    <n v="1950.7000000000007"/>
  </r>
  <r>
    <x v="22"/>
    <x v="3"/>
    <x v="0"/>
    <x v="2"/>
    <x v="3"/>
    <n v="2"/>
    <n v="58.89"/>
    <n v="34.96"/>
    <n v="117.78"/>
    <n v="69.92"/>
    <n v="47.86"/>
  </r>
  <r>
    <x v="23"/>
    <x v="1"/>
    <x v="1"/>
    <x v="6"/>
    <x v="0"/>
    <n v="7"/>
    <n v="289.25"/>
    <n v="207.24"/>
    <n v="2024.75"/>
    <n v="1450.68"/>
    <n v="574.06999999999994"/>
  </r>
  <r>
    <x v="23"/>
    <x v="4"/>
    <x v="3"/>
    <x v="6"/>
    <x v="0"/>
    <n v="10"/>
    <n v="45.6"/>
    <n v="26.6"/>
    <n v="456"/>
    <n v="266"/>
    <n v="190"/>
  </r>
  <r>
    <x v="23"/>
    <x v="7"/>
    <x v="3"/>
    <x v="6"/>
    <x v="0"/>
    <n v="10"/>
    <n v="87.1"/>
    <n v="50.85"/>
    <n v="871"/>
    <n v="508.5"/>
    <n v="362.5"/>
  </r>
  <r>
    <x v="24"/>
    <x v="7"/>
    <x v="3"/>
    <x v="0"/>
    <x v="2"/>
    <n v="10"/>
    <n v="81.709999999999994"/>
    <n v="47.02"/>
    <n v="817.09999999999991"/>
    <n v="470.20000000000005"/>
    <n v="346.89999999999986"/>
  </r>
  <r>
    <x v="24"/>
    <x v="8"/>
    <x v="3"/>
    <x v="1"/>
    <x v="4"/>
    <n v="4"/>
    <n v="1161.8499999999999"/>
    <n v="919.01"/>
    <n v="4647.3999999999996"/>
    <n v="3676.04"/>
    <n v="971.35999999999967"/>
  </r>
  <r>
    <x v="25"/>
    <x v="2"/>
    <x v="2"/>
    <x v="5"/>
    <x v="4"/>
    <n v="9"/>
    <n v="85.88"/>
    <n v="45.22"/>
    <n v="772.92"/>
    <n v="406.98"/>
    <n v="365.93999999999994"/>
  </r>
  <r>
    <x v="25"/>
    <x v="8"/>
    <x v="3"/>
    <x v="2"/>
    <x v="2"/>
    <n v="3"/>
    <n v="1059.5"/>
    <n v="921.09"/>
    <n v="3178.5"/>
    <n v="2763.27"/>
    <n v="415.23"/>
  </r>
  <r>
    <x v="26"/>
    <x v="6"/>
    <x v="1"/>
    <x v="3"/>
    <x v="3"/>
    <n v="9"/>
    <n v="410.81"/>
    <n v="308.06"/>
    <n v="3697.29"/>
    <n v="2772.54"/>
    <n v="924.75"/>
  </r>
  <r>
    <x v="27"/>
    <x v="2"/>
    <x v="2"/>
    <x v="5"/>
    <x v="1"/>
    <n v="9"/>
    <n v="64.430000000000007"/>
    <n v="45.67"/>
    <n v="579.87000000000012"/>
    <n v="411.03000000000003"/>
    <n v="168.84000000000009"/>
  </r>
  <r>
    <x v="27"/>
    <x v="4"/>
    <x v="3"/>
    <x v="1"/>
    <x v="4"/>
    <n v="8"/>
    <n v="44.99"/>
    <n v="23.63"/>
    <n v="359.92"/>
    <n v="189.04"/>
    <n v="170.88000000000002"/>
  </r>
  <r>
    <x v="27"/>
    <x v="8"/>
    <x v="3"/>
    <x v="0"/>
    <x v="2"/>
    <n v="6"/>
    <n v="1345.59"/>
    <n v="819.63"/>
    <n v="8073.5399999999991"/>
    <n v="4917.78"/>
    <n v="3155.7599999999993"/>
  </r>
  <r>
    <x v="28"/>
    <x v="7"/>
    <x v="3"/>
    <x v="6"/>
    <x v="0"/>
    <n v="10"/>
    <n v="101.81"/>
    <n v="50.97"/>
    <n v="1018.1"/>
    <n v="509.7"/>
    <n v="508.40000000000003"/>
  </r>
  <r>
    <x v="29"/>
    <x v="3"/>
    <x v="0"/>
    <x v="5"/>
    <x v="1"/>
    <n v="10"/>
    <n v="56.78"/>
    <n v="33.06"/>
    <n v="567.79999999999995"/>
    <n v="330.6"/>
    <n v="237.19999999999993"/>
  </r>
  <r>
    <x v="30"/>
    <x v="5"/>
    <x v="2"/>
    <x v="5"/>
    <x v="2"/>
    <n v="4"/>
    <n v="776.44"/>
    <n v="509.21"/>
    <n v="3105.76"/>
    <n v="2036.84"/>
    <n v="1068.9200000000003"/>
  </r>
  <r>
    <x v="30"/>
    <x v="6"/>
    <x v="1"/>
    <x v="3"/>
    <x v="2"/>
    <n v="7"/>
    <n v="429.87"/>
    <n v="293.55"/>
    <n v="3009.09"/>
    <n v="2054.85"/>
    <n v="954.24000000000024"/>
  </r>
  <r>
    <x v="30"/>
    <x v="9"/>
    <x v="0"/>
    <x v="3"/>
    <x v="2"/>
    <n v="4"/>
    <n v="72.69"/>
    <n v="39.44"/>
    <n v="290.76"/>
    <n v="157.76"/>
    <n v="133"/>
  </r>
  <r>
    <x v="31"/>
    <x v="5"/>
    <x v="2"/>
    <x v="6"/>
    <x v="2"/>
    <n v="5"/>
    <n v="747.46"/>
    <n v="511.33"/>
    <n v="3737.3"/>
    <n v="2556.65"/>
    <n v="1180.6500000000001"/>
  </r>
  <r>
    <x v="32"/>
    <x v="1"/>
    <x v="1"/>
    <x v="5"/>
    <x v="2"/>
    <n v="6"/>
    <n v="279.08"/>
    <n v="223.37"/>
    <n v="1674.48"/>
    <n v="1340.22"/>
    <n v="334.26"/>
  </r>
  <r>
    <x v="32"/>
    <x v="0"/>
    <x v="0"/>
    <x v="4"/>
    <x v="4"/>
    <n v="4"/>
    <n v="300.85000000000002"/>
    <n v="207.27"/>
    <n v="1203.4000000000001"/>
    <n v="829.08"/>
    <n v="374.32000000000005"/>
  </r>
  <r>
    <x v="33"/>
    <x v="4"/>
    <x v="3"/>
    <x v="7"/>
    <x v="1"/>
    <n v="8"/>
    <n v="41.82"/>
    <n v="23.19"/>
    <n v="334.56"/>
    <n v="185.52"/>
    <n v="149.04"/>
  </r>
  <r>
    <x v="34"/>
    <x v="4"/>
    <x v="3"/>
    <x v="1"/>
    <x v="4"/>
    <n v="5"/>
    <n v="49.81"/>
    <n v="22.78"/>
    <n v="249.05"/>
    <n v="113.9"/>
    <n v="135.15"/>
  </r>
  <r>
    <x v="34"/>
    <x v="0"/>
    <x v="0"/>
    <x v="2"/>
    <x v="4"/>
    <n v="8"/>
    <n v="293.35000000000002"/>
    <n v="178.04"/>
    <n v="2346.8000000000002"/>
    <n v="1424.32"/>
    <n v="922.48000000000025"/>
  </r>
  <r>
    <x v="34"/>
    <x v="9"/>
    <x v="0"/>
    <x v="6"/>
    <x v="0"/>
    <n v="3"/>
    <n v="60.17"/>
    <n v="43.01"/>
    <n v="180.51"/>
    <n v="129.03"/>
    <n v="51.47999999999999"/>
  </r>
  <r>
    <x v="35"/>
    <x v="1"/>
    <x v="1"/>
    <x v="1"/>
    <x v="4"/>
    <n v="2"/>
    <n v="317.55"/>
    <n v="199.81"/>
    <n v="635.1"/>
    <n v="399.62"/>
    <n v="235.48000000000002"/>
  </r>
  <r>
    <x v="36"/>
    <x v="9"/>
    <x v="0"/>
    <x v="3"/>
    <x v="4"/>
    <n v="4"/>
    <n v="72.05"/>
    <n v="38.83"/>
    <n v="288.2"/>
    <n v="155.32"/>
    <n v="132.88"/>
  </r>
  <r>
    <x v="37"/>
    <x v="1"/>
    <x v="1"/>
    <x v="3"/>
    <x v="4"/>
    <n v="6"/>
    <n v="313.99"/>
    <n v="195.71"/>
    <n v="1883.94"/>
    <n v="1174.26"/>
    <n v="709.68000000000006"/>
  </r>
  <r>
    <x v="38"/>
    <x v="2"/>
    <x v="2"/>
    <x v="1"/>
    <x v="0"/>
    <n v="7"/>
    <n v="72.8"/>
    <n v="43.96"/>
    <n v="509.59999999999997"/>
    <n v="307.72000000000003"/>
    <n v="201.87999999999994"/>
  </r>
  <r>
    <x v="38"/>
    <x v="6"/>
    <x v="1"/>
    <x v="0"/>
    <x v="3"/>
    <n v="8"/>
    <n v="444.12"/>
    <n v="279.55"/>
    <n v="3552.96"/>
    <n v="2236.4"/>
    <n v="1316.56"/>
  </r>
  <r>
    <x v="38"/>
    <x v="6"/>
    <x v="1"/>
    <x v="3"/>
    <x v="4"/>
    <n v="2"/>
    <n v="474.23"/>
    <n v="290.10000000000002"/>
    <n v="948.46"/>
    <n v="580.20000000000005"/>
    <n v="368.26"/>
  </r>
  <r>
    <x v="39"/>
    <x v="5"/>
    <x v="2"/>
    <x v="0"/>
    <x v="4"/>
    <n v="7"/>
    <n v="718.34"/>
    <n v="444.21"/>
    <n v="5028.38"/>
    <n v="3109.47"/>
    <n v="1918.9100000000003"/>
  </r>
  <r>
    <x v="39"/>
    <x v="9"/>
    <x v="0"/>
    <x v="3"/>
    <x v="4"/>
    <n v="2"/>
    <n v="59.93"/>
    <n v="39.28"/>
    <n v="119.86"/>
    <n v="78.56"/>
    <n v="41.3"/>
  </r>
  <r>
    <x v="39"/>
    <x v="7"/>
    <x v="3"/>
    <x v="7"/>
    <x v="2"/>
    <n v="3"/>
    <n v="79.47"/>
    <n v="50.96"/>
    <n v="238.41"/>
    <n v="152.88"/>
    <n v="85.53"/>
  </r>
  <r>
    <x v="39"/>
    <x v="0"/>
    <x v="0"/>
    <x v="5"/>
    <x v="2"/>
    <n v="4"/>
    <n v="242.83"/>
    <n v="177.16"/>
    <n v="971.32"/>
    <n v="708.64"/>
    <n v="262.68000000000006"/>
  </r>
  <r>
    <x v="39"/>
    <x v="2"/>
    <x v="2"/>
    <x v="4"/>
    <x v="0"/>
    <n v="10"/>
    <n v="80.040000000000006"/>
    <n v="46.66"/>
    <n v="800.40000000000009"/>
    <n v="466.59999999999997"/>
    <n v="333.80000000000013"/>
  </r>
  <r>
    <x v="40"/>
    <x v="5"/>
    <x v="2"/>
    <x v="4"/>
    <x v="3"/>
    <n v="5"/>
    <n v="777.32"/>
    <n v="445.62"/>
    <n v="3886.6000000000004"/>
    <n v="2228.1"/>
    <n v="1658.5000000000005"/>
  </r>
  <r>
    <x v="40"/>
    <x v="2"/>
    <x v="2"/>
    <x v="1"/>
    <x v="1"/>
    <n v="8"/>
    <n v="74.52"/>
    <n v="41.67"/>
    <n v="596.16"/>
    <n v="333.36"/>
    <n v="262.79999999999995"/>
  </r>
  <r>
    <x v="40"/>
    <x v="1"/>
    <x v="1"/>
    <x v="0"/>
    <x v="3"/>
    <n v="9"/>
    <n v="332.49"/>
    <n v="190.21"/>
    <n v="2992.41"/>
    <n v="1711.89"/>
    <n v="1280.5199999999998"/>
  </r>
  <r>
    <x v="41"/>
    <x v="2"/>
    <x v="2"/>
    <x v="1"/>
    <x v="0"/>
    <n v="9"/>
    <n v="63.97"/>
    <n v="42.08"/>
    <n v="575.73"/>
    <n v="378.71999999999997"/>
    <n v="197.01000000000005"/>
  </r>
  <r>
    <x v="42"/>
    <x v="8"/>
    <x v="3"/>
    <x v="2"/>
    <x v="1"/>
    <n v="10"/>
    <n v="1025.5"/>
    <n v="822.44"/>
    <n v="10255"/>
    <n v="8224.4000000000015"/>
    <n v="2030.5999999999985"/>
  </r>
  <r>
    <x v="42"/>
    <x v="4"/>
    <x v="3"/>
    <x v="6"/>
    <x v="0"/>
    <n v="6"/>
    <n v="40.92"/>
    <n v="25.8"/>
    <n v="245.52"/>
    <n v="154.80000000000001"/>
    <n v="90.72"/>
  </r>
  <r>
    <x v="43"/>
    <x v="2"/>
    <x v="2"/>
    <x v="6"/>
    <x v="2"/>
    <n v="2"/>
    <n v="70.45"/>
    <n v="45.96"/>
    <n v="140.9"/>
    <n v="91.92"/>
    <n v="48.980000000000004"/>
  </r>
  <r>
    <x v="43"/>
    <x v="2"/>
    <x v="2"/>
    <x v="0"/>
    <x v="2"/>
    <n v="1"/>
    <n v="69.010000000000005"/>
    <n v="44.56"/>
    <n v="69.010000000000005"/>
    <n v="44.56"/>
    <n v="24.450000000000003"/>
  </r>
  <r>
    <x v="43"/>
    <x v="4"/>
    <x v="3"/>
    <x v="7"/>
    <x v="0"/>
    <n v="9"/>
    <n v="44.53"/>
    <n v="27.14"/>
    <n v="400.77"/>
    <n v="244.26"/>
    <n v="156.51"/>
  </r>
  <r>
    <x v="44"/>
    <x v="5"/>
    <x v="2"/>
    <x v="2"/>
    <x v="0"/>
    <n v="4"/>
    <n v="754.67"/>
    <n v="458.13"/>
    <n v="3018.68"/>
    <n v="1832.52"/>
    <n v="1186.1599999999999"/>
  </r>
  <r>
    <x v="45"/>
    <x v="2"/>
    <x v="2"/>
    <x v="6"/>
    <x v="2"/>
    <n v="2"/>
    <n v="84.53"/>
    <n v="46.08"/>
    <n v="169.06"/>
    <n v="92.16"/>
    <n v="76.900000000000006"/>
  </r>
  <r>
    <x v="45"/>
    <x v="1"/>
    <x v="1"/>
    <x v="7"/>
    <x v="4"/>
    <n v="4"/>
    <n v="333.59"/>
    <n v="207.03"/>
    <n v="1334.36"/>
    <n v="828.12"/>
    <n v="506.2399999999999"/>
  </r>
  <r>
    <x v="45"/>
    <x v="1"/>
    <x v="1"/>
    <x v="1"/>
    <x v="1"/>
    <n v="10"/>
    <n v="335.14"/>
    <n v="228.97"/>
    <n v="3351.3999999999996"/>
    <n v="2289.6999999999998"/>
    <n v="1061.6999999999998"/>
  </r>
  <r>
    <x v="46"/>
    <x v="9"/>
    <x v="0"/>
    <x v="0"/>
    <x v="0"/>
    <n v="3"/>
    <n v="57.48"/>
    <n v="42.79"/>
    <n v="172.44"/>
    <n v="128.37"/>
    <n v="44.069999999999993"/>
  </r>
  <r>
    <x v="47"/>
    <x v="9"/>
    <x v="0"/>
    <x v="7"/>
    <x v="4"/>
    <n v="6"/>
    <n v="58.47"/>
    <n v="44.48"/>
    <n v="350.82"/>
    <n v="266.88"/>
    <n v="83.94"/>
  </r>
  <r>
    <x v="48"/>
    <x v="9"/>
    <x v="0"/>
    <x v="2"/>
    <x v="2"/>
    <n v="9"/>
    <n v="57.13"/>
    <n v="45.79"/>
    <n v="514.17000000000007"/>
    <n v="412.11"/>
    <n v="102.06000000000006"/>
  </r>
  <r>
    <x v="48"/>
    <x v="9"/>
    <x v="0"/>
    <x v="6"/>
    <x v="1"/>
    <n v="8"/>
    <n v="67.59"/>
    <n v="45.58"/>
    <n v="540.72"/>
    <n v="364.64"/>
    <n v="176.08000000000004"/>
  </r>
  <r>
    <x v="49"/>
    <x v="1"/>
    <x v="1"/>
    <x v="3"/>
    <x v="1"/>
    <n v="4"/>
    <n v="332.13"/>
    <n v="221.41"/>
    <n v="1328.52"/>
    <n v="885.64"/>
    <n v="442.88"/>
  </r>
  <r>
    <x v="49"/>
    <x v="1"/>
    <x v="1"/>
    <x v="5"/>
    <x v="2"/>
    <n v="2"/>
    <n v="360.27"/>
    <n v="228.84"/>
    <n v="720.54"/>
    <n v="457.68"/>
    <n v="262.85999999999996"/>
  </r>
  <r>
    <x v="49"/>
    <x v="5"/>
    <x v="2"/>
    <x v="0"/>
    <x v="0"/>
    <n v="7"/>
    <n v="743.24"/>
    <n v="495.82"/>
    <n v="5202.68"/>
    <n v="3470.74"/>
    <n v="1731.9400000000005"/>
  </r>
  <r>
    <x v="49"/>
    <x v="7"/>
    <x v="3"/>
    <x v="5"/>
    <x v="2"/>
    <n v="6"/>
    <n v="92.14"/>
    <n v="52.86"/>
    <n v="552.84"/>
    <n v="317.15999999999997"/>
    <n v="235.68000000000006"/>
  </r>
  <r>
    <x v="50"/>
    <x v="6"/>
    <x v="1"/>
    <x v="4"/>
    <x v="0"/>
    <n v="7"/>
    <n v="496.13"/>
    <n v="301.79000000000002"/>
    <n v="3472.91"/>
    <n v="2112.5300000000002"/>
    <n v="1360.3799999999997"/>
  </r>
  <r>
    <x v="51"/>
    <x v="5"/>
    <x v="2"/>
    <x v="2"/>
    <x v="0"/>
    <n v="6"/>
    <n v="670.69"/>
    <n v="483.72"/>
    <n v="4024.1400000000003"/>
    <n v="2902.32"/>
    <n v="1121.8200000000002"/>
  </r>
  <r>
    <x v="51"/>
    <x v="7"/>
    <x v="3"/>
    <x v="6"/>
    <x v="4"/>
    <n v="7"/>
    <n v="94.52"/>
    <n v="56.34"/>
    <n v="661.64"/>
    <n v="394.38"/>
    <n v="267.26"/>
  </r>
  <r>
    <x v="52"/>
    <x v="3"/>
    <x v="0"/>
    <x v="7"/>
    <x v="1"/>
    <n v="7"/>
    <n v="48.51"/>
    <n v="35.6"/>
    <n v="339.57"/>
    <n v="249.20000000000002"/>
    <n v="90.369999999999976"/>
  </r>
  <r>
    <x v="52"/>
    <x v="9"/>
    <x v="0"/>
    <x v="4"/>
    <x v="2"/>
    <n v="10"/>
    <n v="71.78"/>
    <n v="39.19"/>
    <n v="717.8"/>
    <n v="391.9"/>
    <n v="325.89999999999998"/>
  </r>
  <r>
    <x v="53"/>
    <x v="2"/>
    <x v="2"/>
    <x v="3"/>
    <x v="3"/>
    <n v="5"/>
    <n v="64.790000000000006"/>
    <n v="44.51"/>
    <n v="323.95000000000005"/>
    <n v="222.54999999999998"/>
    <n v="101.40000000000006"/>
  </r>
  <r>
    <x v="53"/>
    <x v="1"/>
    <x v="1"/>
    <x v="3"/>
    <x v="3"/>
    <n v="5"/>
    <n v="295.83999999999997"/>
    <n v="227.1"/>
    <n v="1479.1999999999998"/>
    <n v="1135.5"/>
    <n v="343.69999999999982"/>
  </r>
  <r>
    <x v="53"/>
    <x v="2"/>
    <x v="2"/>
    <x v="1"/>
    <x v="1"/>
    <n v="2"/>
    <n v="72.69"/>
    <n v="45.17"/>
    <n v="145.38"/>
    <n v="90.34"/>
    <n v="55.039999999999992"/>
  </r>
  <r>
    <x v="54"/>
    <x v="3"/>
    <x v="0"/>
    <x v="6"/>
    <x v="0"/>
    <n v="1"/>
    <n v="61.44"/>
    <n v="34.950000000000003"/>
    <n v="61.44"/>
    <n v="34.950000000000003"/>
    <n v="26.489999999999995"/>
  </r>
  <r>
    <x v="55"/>
    <x v="3"/>
    <x v="0"/>
    <x v="5"/>
    <x v="4"/>
    <n v="9"/>
    <n v="59.52"/>
    <n v="31.62"/>
    <n v="535.68000000000006"/>
    <n v="284.58"/>
    <n v="251.10000000000008"/>
  </r>
  <r>
    <x v="56"/>
    <x v="3"/>
    <x v="0"/>
    <x v="4"/>
    <x v="4"/>
    <n v="9"/>
    <n v="62.97"/>
    <n v="31.9"/>
    <n v="566.73"/>
    <n v="287.09999999999997"/>
    <n v="279.63000000000005"/>
  </r>
  <r>
    <x v="57"/>
    <x v="6"/>
    <x v="1"/>
    <x v="5"/>
    <x v="1"/>
    <n v="9"/>
    <n v="451.86"/>
    <n v="325.89"/>
    <n v="4066.7400000000002"/>
    <n v="2933.0099999999998"/>
    <n v="1133.7300000000005"/>
  </r>
  <r>
    <x v="58"/>
    <x v="7"/>
    <x v="3"/>
    <x v="3"/>
    <x v="2"/>
    <n v="5"/>
    <n v="80.66"/>
    <n v="56.12"/>
    <n v="403.29999999999995"/>
    <n v="280.59999999999997"/>
    <n v="122.69999999999999"/>
  </r>
  <r>
    <x v="58"/>
    <x v="9"/>
    <x v="0"/>
    <x v="6"/>
    <x v="1"/>
    <n v="1"/>
    <n v="58.27"/>
    <n v="43.35"/>
    <n v="58.27"/>
    <n v="43.35"/>
    <n v="14.920000000000002"/>
  </r>
  <r>
    <x v="59"/>
    <x v="0"/>
    <x v="0"/>
    <x v="6"/>
    <x v="3"/>
    <n v="6"/>
    <n v="307.95"/>
    <n v="171.71"/>
    <n v="1847.6999999999998"/>
    <n v="1030.26"/>
    <n v="817.43999999999983"/>
  </r>
  <r>
    <x v="59"/>
    <x v="2"/>
    <x v="2"/>
    <x v="1"/>
    <x v="1"/>
    <n v="7"/>
    <n v="76.099999999999994"/>
    <n v="45.71"/>
    <n v="532.69999999999993"/>
    <n v="319.97000000000003"/>
    <n v="212.7299999999999"/>
  </r>
  <r>
    <x v="59"/>
    <x v="6"/>
    <x v="1"/>
    <x v="6"/>
    <x v="4"/>
    <n v="10"/>
    <n v="415.53"/>
    <n v="322.88"/>
    <n v="4155.2999999999993"/>
    <n v="3228.8"/>
    <n v="926.49999999999909"/>
  </r>
  <r>
    <x v="60"/>
    <x v="8"/>
    <x v="3"/>
    <x v="1"/>
    <x v="1"/>
    <n v="10"/>
    <n v="1377.17"/>
    <n v="862.63"/>
    <n v="13771.7"/>
    <n v="8626.2999999999993"/>
    <n v="5145.4000000000015"/>
  </r>
  <r>
    <x v="60"/>
    <x v="0"/>
    <x v="0"/>
    <x v="7"/>
    <x v="0"/>
    <n v="1"/>
    <n v="306.76"/>
    <n v="178.47"/>
    <n v="306.76"/>
    <n v="178.47"/>
    <n v="128.29"/>
  </r>
  <r>
    <x v="61"/>
    <x v="5"/>
    <x v="2"/>
    <x v="1"/>
    <x v="1"/>
    <n v="4"/>
    <n v="658.88"/>
    <n v="512.70000000000005"/>
    <n v="2635.52"/>
    <n v="2050.8000000000002"/>
    <n v="584.7199999999998"/>
  </r>
  <r>
    <x v="62"/>
    <x v="2"/>
    <x v="2"/>
    <x v="5"/>
    <x v="1"/>
    <n v="2"/>
    <n v="67.569999999999993"/>
    <n v="48.15"/>
    <n v="135.13999999999999"/>
    <n v="96.3"/>
    <n v="38.839999999999989"/>
  </r>
  <r>
    <x v="62"/>
    <x v="9"/>
    <x v="0"/>
    <x v="6"/>
    <x v="0"/>
    <n v="8"/>
    <n v="64.05"/>
    <n v="40.729999999999997"/>
    <n v="512.4"/>
    <n v="325.83999999999997"/>
    <n v="186.56"/>
  </r>
  <r>
    <x v="62"/>
    <x v="4"/>
    <x v="3"/>
    <x v="7"/>
    <x v="2"/>
    <n v="1"/>
    <n v="40.770000000000003"/>
    <n v="27.3"/>
    <n v="40.770000000000003"/>
    <n v="27.3"/>
    <n v="13.470000000000002"/>
  </r>
  <r>
    <x v="63"/>
    <x v="0"/>
    <x v="0"/>
    <x v="0"/>
    <x v="4"/>
    <n v="1"/>
    <n v="246.58"/>
    <n v="206.3"/>
    <n v="246.58"/>
    <n v="206.3"/>
    <n v="40.28"/>
  </r>
  <r>
    <x v="63"/>
    <x v="1"/>
    <x v="1"/>
    <x v="1"/>
    <x v="1"/>
    <n v="8"/>
    <n v="293.24"/>
    <n v="205.22"/>
    <n v="2345.92"/>
    <n v="1641.76"/>
    <n v="704.16000000000008"/>
  </r>
  <r>
    <x v="64"/>
    <x v="1"/>
    <x v="1"/>
    <x v="7"/>
    <x v="1"/>
    <n v="10"/>
    <n v="301.52999999999997"/>
    <n v="210.3"/>
    <n v="3015.2999999999997"/>
    <n v="2103"/>
    <n v="912.29999999999973"/>
  </r>
  <r>
    <x v="65"/>
    <x v="5"/>
    <x v="2"/>
    <x v="0"/>
    <x v="0"/>
    <n v="4"/>
    <n v="765.56"/>
    <n v="514.29"/>
    <n v="3062.24"/>
    <n v="2057.16"/>
    <n v="1005.0799999999999"/>
  </r>
  <r>
    <x v="66"/>
    <x v="0"/>
    <x v="0"/>
    <x v="0"/>
    <x v="3"/>
    <n v="7"/>
    <n v="316.68"/>
    <n v="197.55"/>
    <n v="2216.7600000000002"/>
    <n v="1382.8500000000001"/>
    <n v="833.91000000000008"/>
  </r>
  <r>
    <x v="67"/>
    <x v="5"/>
    <x v="2"/>
    <x v="1"/>
    <x v="4"/>
    <n v="9"/>
    <n v="663.9"/>
    <n v="478.11"/>
    <n v="5975.0999999999995"/>
    <n v="4302.99"/>
    <n v="1672.1099999999997"/>
  </r>
  <r>
    <x v="67"/>
    <x v="9"/>
    <x v="0"/>
    <x v="0"/>
    <x v="0"/>
    <n v="1"/>
    <n v="58.58"/>
    <n v="44.07"/>
    <n v="58.58"/>
    <n v="44.07"/>
    <n v="14.509999999999998"/>
  </r>
  <r>
    <x v="68"/>
    <x v="2"/>
    <x v="2"/>
    <x v="3"/>
    <x v="1"/>
    <n v="9"/>
    <n v="80.5"/>
    <n v="46.33"/>
    <n v="724.5"/>
    <n v="416.96999999999997"/>
    <n v="307.53000000000003"/>
  </r>
  <r>
    <x v="68"/>
    <x v="5"/>
    <x v="2"/>
    <x v="3"/>
    <x v="0"/>
    <n v="1"/>
    <n v="628.5"/>
    <n v="465.41"/>
    <n v="628.5"/>
    <n v="465.41"/>
    <n v="163.08999999999997"/>
  </r>
  <r>
    <x v="68"/>
    <x v="0"/>
    <x v="0"/>
    <x v="5"/>
    <x v="2"/>
    <n v="10"/>
    <n v="244.96"/>
    <n v="175.14"/>
    <n v="2449.6"/>
    <n v="1751.3999999999999"/>
    <n v="698.2"/>
  </r>
  <r>
    <x v="69"/>
    <x v="1"/>
    <x v="1"/>
    <x v="0"/>
    <x v="3"/>
    <n v="10"/>
    <n v="300.75"/>
    <n v="198.49"/>
    <n v="3007.5"/>
    <n v="1984.9"/>
    <n v="1022.5999999999999"/>
  </r>
  <r>
    <x v="69"/>
    <x v="5"/>
    <x v="2"/>
    <x v="3"/>
    <x v="1"/>
    <n v="3"/>
    <n v="713.17"/>
    <n v="447.11"/>
    <n v="2139.5099999999998"/>
    <n v="1341.33"/>
    <n v="798.17999999999984"/>
  </r>
  <r>
    <x v="69"/>
    <x v="4"/>
    <x v="3"/>
    <x v="3"/>
    <x v="2"/>
    <n v="7"/>
    <n v="42.08"/>
    <n v="25.18"/>
    <n v="294.56"/>
    <n v="176.26"/>
    <n v="118.30000000000001"/>
  </r>
  <r>
    <x v="70"/>
    <x v="1"/>
    <x v="1"/>
    <x v="6"/>
    <x v="2"/>
    <n v="6"/>
    <n v="328.83"/>
    <n v="222.96"/>
    <n v="1972.98"/>
    <n v="1337.76"/>
    <n v="635.22"/>
  </r>
  <r>
    <x v="70"/>
    <x v="3"/>
    <x v="0"/>
    <x v="3"/>
    <x v="3"/>
    <n v="10"/>
    <n v="63.19"/>
    <n v="34.799999999999997"/>
    <n v="631.9"/>
    <n v="348"/>
    <n v="283.89999999999998"/>
  </r>
  <r>
    <x v="70"/>
    <x v="0"/>
    <x v="0"/>
    <x v="3"/>
    <x v="1"/>
    <n v="6"/>
    <n v="245.81"/>
    <n v="175.11"/>
    <n v="1474.8600000000001"/>
    <n v="1050.6600000000001"/>
    <n v="424.20000000000005"/>
  </r>
  <r>
    <x v="71"/>
    <x v="7"/>
    <x v="3"/>
    <x v="7"/>
    <x v="0"/>
    <n v="3"/>
    <n v="92.89"/>
    <n v="49.37"/>
    <n v="278.67"/>
    <n v="148.10999999999999"/>
    <n v="130.56000000000003"/>
  </r>
  <r>
    <x v="72"/>
    <x v="5"/>
    <x v="2"/>
    <x v="0"/>
    <x v="4"/>
    <n v="2"/>
    <n v="596"/>
    <n v="451.87"/>
    <n v="1192"/>
    <n v="903.74"/>
    <n v="288.26"/>
  </r>
  <r>
    <x v="73"/>
    <x v="6"/>
    <x v="1"/>
    <x v="3"/>
    <x v="0"/>
    <n v="1"/>
    <n v="503.38"/>
    <n v="314.73"/>
    <n v="503.38"/>
    <n v="314.73"/>
    <n v="188.64999999999998"/>
  </r>
  <r>
    <x v="74"/>
    <x v="3"/>
    <x v="0"/>
    <x v="7"/>
    <x v="4"/>
    <n v="7"/>
    <n v="48.56"/>
    <n v="36.06"/>
    <n v="339.92"/>
    <n v="252.42000000000002"/>
    <n v="87.5"/>
  </r>
  <r>
    <x v="74"/>
    <x v="2"/>
    <x v="2"/>
    <x v="7"/>
    <x v="4"/>
    <n v="1"/>
    <n v="80.95"/>
    <n v="45.41"/>
    <n v="80.95"/>
    <n v="45.41"/>
    <n v="35.540000000000006"/>
  </r>
  <r>
    <x v="74"/>
    <x v="3"/>
    <x v="0"/>
    <x v="3"/>
    <x v="0"/>
    <n v="7"/>
    <n v="61.54"/>
    <n v="34.64"/>
    <n v="430.78"/>
    <n v="242.48000000000002"/>
    <n v="188.29999999999995"/>
  </r>
  <r>
    <x v="74"/>
    <x v="9"/>
    <x v="0"/>
    <x v="0"/>
    <x v="3"/>
    <n v="5"/>
    <n v="56.18"/>
    <n v="39.54"/>
    <n v="280.89999999999998"/>
    <n v="197.7"/>
    <n v="83.199999999999989"/>
  </r>
  <r>
    <x v="75"/>
    <x v="5"/>
    <x v="2"/>
    <x v="1"/>
    <x v="0"/>
    <n v="6"/>
    <n v="735.64"/>
    <n v="469.69"/>
    <n v="4413.84"/>
    <n v="2818.14"/>
    <n v="1595.7000000000003"/>
  </r>
  <r>
    <x v="75"/>
    <x v="9"/>
    <x v="0"/>
    <x v="0"/>
    <x v="4"/>
    <n v="10"/>
    <n v="66.319999999999993"/>
    <n v="43.24"/>
    <n v="663.19999999999993"/>
    <n v="432.40000000000003"/>
    <n v="230.7999999999999"/>
  </r>
  <r>
    <x v="76"/>
    <x v="0"/>
    <x v="0"/>
    <x v="3"/>
    <x v="2"/>
    <n v="9"/>
    <n v="293.83"/>
    <n v="181.34"/>
    <n v="2644.47"/>
    <n v="1632.06"/>
    <n v="1012.4099999999999"/>
  </r>
  <r>
    <x v="77"/>
    <x v="0"/>
    <x v="0"/>
    <x v="0"/>
    <x v="2"/>
    <n v="2"/>
    <n v="247.71"/>
    <n v="184.05"/>
    <n v="495.42"/>
    <n v="368.1"/>
    <n v="127.32"/>
  </r>
  <r>
    <x v="77"/>
    <x v="1"/>
    <x v="1"/>
    <x v="7"/>
    <x v="1"/>
    <n v="5"/>
    <n v="310.61"/>
    <n v="221.53"/>
    <n v="1553.0500000000002"/>
    <n v="1107.6500000000001"/>
    <n v="445.40000000000009"/>
  </r>
  <r>
    <x v="78"/>
    <x v="3"/>
    <x v="0"/>
    <x v="2"/>
    <x v="3"/>
    <n v="3"/>
    <n v="59.64"/>
    <n v="34.9"/>
    <n v="178.92000000000002"/>
    <n v="104.69999999999999"/>
    <n v="74.220000000000027"/>
  </r>
  <r>
    <x v="79"/>
    <x v="0"/>
    <x v="0"/>
    <x v="7"/>
    <x v="0"/>
    <n v="7"/>
    <n v="316.23"/>
    <n v="207.36"/>
    <n v="2213.61"/>
    <n v="1451.52"/>
    <n v="762.09000000000015"/>
  </r>
  <r>
    <x v="80"/>
    <x v="6"/>
    <x v="1"/>
    <x v="4"/>
    <x v="4"/>
    <n v="6"/>
    <n v="517.49"/>
    <n v="293.45999999999998"/>
    <n v="3104.94"/>
    <n v="1760.7599999999998"/>
    <n v="1344.1800000000003"/>
  </r>
  <r>
    <x v="81"/>
    <x v="6"/>
    <x v="1"/>
    <x v="1"/>
    <x v="0"/>
    <n v="8"/>
    <n v="419.86"/>
    <n v="312.13"/>
    <n v="3358.88"/>
    <n v="2497.04"/>
    <n v="861.84000000000015"/>
  </r>
  <r>
    <x v="82"/>
    <x v="7"/>
    <x v="3"/>
    <x v="0"/>
    <x v="0"/>
    <n v="10"/>
    <n v="82.05"/>
    <n v="54.09"/>
    <n v="820.5"/>
    <n v="540.90000000000009"/>
    <n v="279.59999999999991"/>
  </r>
  <r>
    <x v="83"/>
    <x v="5"/>
    <x v="2"/>
    <x v="2"/>
    <x v="0"/>
    <n v="10"/>
    <n v="601.32000000000005"/>
    <n v="526.49"/>
    <n v="6013.2000000000007"/>
    <n v="5264.9"/>
    <n v="748.30000000000109"/>
  </r>
  <r>
    <x v="83"/>
    <x v="9"/>
    <x v="0"/>
    <x v="3"/>
    <x v="4"/>
    <n v="8"/>
    <n v="64.400000000000006"/>
    <n v="40.86"/>
    <n v="515.20000000000005"/>
    <n v="326.88"/>
    <n v="188.32000000000005"/>
  </r>
  <r>
    <x v="83"/>
    <x v="9"/>
    <x v="0"/>
    <x v="7"/>
    <x v="3"/>
    <n v="2"/>
    <n v="68.680000000000007"/>
    <n v="41.31"/>
    <n v="137.36000000000001"/>
    <n v="82.62"/>
    <n v="54.740000000000009"/>
  </r>
  <r>
    <x v="83"/>
    <x v="9"/>
    <x v="0"/>
    <x v="1"/>
    <x v="2"/>
    <n v="9"/>
    <n v="73.88"/>
    <n v="44.21"/>
    <n v="664.92"/>
    <n v="397.89"/>
    <n v="267.02999999999997"/>
  </r>
  <r>
    <x v="84"/>
    <x v="6"/>
    <x v="1"/>
    <x v="4"/>
    <x v="2"/>
    <n v="4"/>
    <n v="480.8"/>
    <n v="290.52999999999997"/>
    <n v="1923.2"/>
    <n v="1162.1199999999999"/>
    <n v="761.08000000000015"/>
  </r>
  <r>
    <x v="84"/>
    <x v="4"/>
    <x v="3"/>
    <x v="2"/>
    <x v="2"/>
    <n v="1"/>
    <n v="41.29"/>
    <n v="23.7"/>
    <n v="41.29"/>
    <n v="23.7"/>
    <n v="17.59"/>
  </r>
  <r>
    <x v="84"/>
    <x v="0"/>
    <x v="0"/>
    <x v="7"/>
    <x v="1"/>
    <n v="3"/>
    <n v="317.83"/>
    <n v="208.05"/>
    <n v="953.49"/>
    <n v="624.15000000000009"/>
    <n v="329.33999999999992"/>
  </r>
  <r>
    <x v="84"/>
    <x v="5"/>
    <x v="2"/>
    <x v="4"/>
    <x v="3"/>
    <n v="3"/>
    <n v="619.33000000000004"/>
    <n v="480.92"/>
    <n v="1857.9900000000002"/>
    <n v="1442.76"/>
    <n v="415.23000000000025"/>
  </r>
  <r>
    <x v="85"/>
    <x v="0"/>
    <x v="0"/>
    <x v="3"/>
    <x v="2"/>
    <n v="9"/>
    <n v="303.31"/>
    <n v="200.5"/>
    <n v="2729.79"/>
    <n v="1804.5"/>
    <n v="925.29"/>
  </r>
  <r>
    <x v="85"/>
    <x v="4"/>
    <x v="3"/>
    <x v="3"/>
    <x v="1"/>
    <n v="3"/>
    <n v="39.450000000000003"/>
    <n v="24.66"/>
    <n v="118.35000000000001"/>
    <n v="73.98"/>
    <n v="44.370000000000005"/>
  </r>
  <r>
    <x v="85"/>
    <x v="6"/>
    <x v="1"/>
    <x v="5"/>
    <x v="0"/>
    <n v="1"/>
    <n v="504.93"/>
    <n v="297"/>
    <n v="504.93"/>
    <n v="297"/>
    <n v="207.93"/>
  </r>
  <r>
    <x v="85"/>
    <x v="5"/>
    <x v="2"/>
    <x v="2"/>
    <x v="3"/>
    <n v="6"/>
    <n v="776.55"/>
    <n v="507.29"/>
    <n v="4659.2999999999993"/>
    <n v="3043.7400000000002"/>
    <n v="1615.559999999999"/>
  </r>
  <r>
    <x v="86"/>
    <x v="2"/>
    <x v="2"/>
    <x v="7"/>
    <x v="2"/>
    <n v="5"/>
    <n v="66.09"/>
    <n v="46.97"/>
    <n v="330.45000000000005"/>
    <n v="234.85"/>
    <n v="95.600000000000051"/>
  </r>
  <r>
    <x v="87"/>
    <x v="3"/>
    <x v="0"/>
    <x v="1"/>
    <x v="1"/>
    <n v="9"/>
    <n v="58.47"/>
    <n v="33.26"/>
    <n v="526.23"/>
    <n v="299.33999999999997"/>
    <n v="226.89000000000004"/>
  </r>
  <r>
    <x v="88"/>
    <x v="6"/>
    <x v="1"/>
    <x v="5"/>
    <x v="3"/>
    <n v="8"/>
    <n v="389.51"/>
    <n v="293.26"/>
    <n v="3116.08"/>
    <n v="2346.08"/>
    <n v="770"/>
  </r>
  <r>
    <x v="89"/>
    <x v="7"/>
    <x v="3"/>
    <x v="7"/>
    <x v="4"/>
    <n v="10"/>
    <n v="86.17"/>
    <n v="49.89"/>
    <n v="861.7"/>
    <n v="498.9"/>
    <n v="362.80000000000007"/>
  </r>
  <r>
    <x v="90"/>
    <x v="3"/>
    <x v="0"/>
    <x v="1"/>
    <x v="2"/>
    <n v="2"/>
    <n v="54.99"/>
    <n v="31.74"/>
    <n v="109.98"/>
    <n v="63.48"/>
    <n v="46.500000000000007"/>
  </r>
  <r>
    <x v="91"/>
    <x v="2"/>
    <x v="2"/>
    <x v="2"/>
    <x v="0"/>
    <n v="3"/>
    <n v="83.52"/>
    <n v="41.67"/>
    <n v="250.56"/>
    <n v="125.01"/>
    <n v="125.55"/>
  </r>
  <r>
    <x v="91"/>
    <x v="7"/>
    <x v="3"/>
    <x v="4"/>
    <x v="0"/>
    <n v="6"/>
    <n v="100.17"/>
    <n v="52.48"/>
    <n v="601.02"/>
    <n v="314.88"/>
    <n v="286.14"/>
  </r>
  <r>
    <x v="91"/>
    <x v="4"/>
    <x v="3"/>
    <x v="4"/>
    <x v="1"/>
    <n v="10"/>
    <n v="50.91"/>
    <n v="26.95"/>
    <n v="509.09999999999997"/>
    <n v="269.5"/>
    <n v="239.59999999999997"/>
  </r>
  <r>
    <x v="91"/>
    <x v="3"/>
    <x v="0"/>
    <x v="6"/>
    <x v="3"/>
    <n v="5"/>
    <n v="62.55"/>
    <n v="32.42"/>
    <n v="312.75"/>
    <n v="162.10000000000002"/>
    <n v="150.64999999999998"/>
  </r>
  <r>
    <x v="91"/>
    <x v="2"/>
    <x v="2"/>
    <x v="1"/>
    <x v="1"/>
    <n v="2"/>
    <n v="64.34"/>
    <n v="47.45"/>
    <n v="128.68"/>
    <n v="94.9"/>
    <n v="33.78"/>
  </r>
  <r>
    <x v="91"/>
    <x v="3"/>
    <x v="0"/>
    <x v="7"/>
    <x v="0"/>
    <n v="3"/>
    <n v="58.1"/>
    <n v="37.090000000000003"/>
    <n v="174.3"/>
    <n v="111.27000000000001"/>
    <n v="63.03"/>
  </r>
  <r>
    <x v="92"/>
    <x v="3"/>
    <x v="0"/>
    <x v="1"/>
    <x v="1"/>
    <n v="10"/>
    <n v="61.05"/>
    <n v="35.75"/>
    <n v="610.5"/>
    <n v="357.5"/>
    <n v="253"/>
  </r>
  <r>
    <x v="93"/>
    <x v="3"/>
    <x v="0"/>
    <x v="0"/>
    <x v="4"/>
    <n v="3"/>
    <n v="61.15"/>
    <n v="36.75"/>
    <n v="183.45"/>
    <n v="110.25"/>
    <n v="73.199999999999989"/>
  </r>
  <r>
    <x v="93"/>
    <x v="4"/>
    <x v="3"/>
    <x v="2"/>
    <x v="4"/>
    <n v="1"/>
    <n v="46.72"/>
    <n v="22.5"/>
    <n v="46.72"/>
    <n v="22.5"/>
    <n v="24.22"/>
  </r>
  <r>
    <x v="93"/>
    <x v="3"/>
    <x v="0"/>
    <x v="3"/>
    <x v="4"/>
    <n v="8"/>
    <n v="63.04"/>
    <n v="32.25"/>
    <n v="504.32"/>
    <n v="258"/>
    <n v="246.32"/>
  </r>
  <r>
    <x v="94"/>
    <x v="1"/>
    <x v="1"/>
    <x v="3"/>
    <x v="0"/>
    <n v="7"/>
    <n v="362.46"/>
    <n v="191.42"/>
    <n v="2537.2199999999998"/>
    <n v="1339.9399999999998"/>
    <n v="1197.28"/>
  </r>
  <r>
    <x v="94"/>
    <x v="1"/>
    <x v="1"/>
    <x v="0"/>
    <x v="1"/>
    <n v="4"/>
    <n v="334.96"/>
    <n v="217.43"/>
    <n v="1339.84"/>
    <n v="869.72"/>
    <n v="470.11999999999989"/>
  </r>
  <r>
    <x v="95"/>
    <x v="7"/>
    <x v="3"/>
    <x v="0"/>
    <x v="2"/>
    <n v="3"/>
    <n v="92.15"/>
    <n v="49.99"/>
    <n v="276.45000000000005"/>
    <n v="149.97"/>
    <n v="126.48000000000005"/>
  </r>
  <r>
    <x v="95"/>
    <x v="5"/>
    <x v="2"/>
    <x v="1"/>
    <x v="4"/>
    <n v="4"/>
    <n v="630.91999999999996"/>
    <n v="438.46"/>
    <n v="2523.6799999999998"/>
    <n v="1753.84"/>
    <n v="769.83999999999992"/>
  </r>
  <r>
    <x v="95"/>
    <x v="2"/>
    <x v="2"/>
    <x v="4"/>
    <x v="3"/>
    <n v="7"/>
    <n v="65.349999999999994"/>
    <n v="49.36"/>
    <n v="457.44999999999993"/>
    <n v="345.52"/>
    <n v="111.92999999999995"/>
  </r>
  <r>
    <x v="96"/>
    <x v="5"/>
    <x v="2"/>
    <x v="3"/>
    <x v="3"/>
    <n v="9"/>
    <n v="582.26"/>
    <n v="461.63"/>
    <n v="5240.34"/>
    <n v="4154.67"/>
    <n v="1085.67"/>
  </r>
  <r>
    <x v="97"/>
    <x v="0"/>
    <x v="0"/>
    <x v="6"/>
    <x v="1"/>
    <n v="2"/>
    <n v="273.55"/>
    <n v="207.8"/>
    <n v="547.1"/>
    <n v="415.6"/>
    <n v="131.5"/>
  </r>
  <r>
    <x v="98"/>
    <x v="6"/>
    <x v="1"/>
    <x v="4"/>
    <x v="2"/>
    <n v="6"/>
    <n v="440.22"/>
    <n v="310.56"/>
    <n v="2641.32"/>
    <n v="1863.3600000000001"/>
    <n v="777.96"/>
  </r>
  <r>
    <x v="98"/>
    <x v="6"/>
    <x v="1"/>
    <x v="1"/>
    <x v="3"/>
    <n v="4"/>
    <n v="383.39"/>
    <n v="305.58999999999997"/>
    <n v="1533.56"/>
    <n v="1222.3599999999999"/>
    <n v="311.20000000000005"/>
  </r>
  <r>
    <x v="98"/>
    <x v="5"/>
    <x v="2"/>
    <x v="0"/>
    <x v="2"/>
    <n v="1"/>
    <n v="673.82"/>
    <n v="491.71"/>
    <n v="673.82"/>
    <n v="491.71"/>
    <n v="182.11000000000007"/>
  </r>
  <r>
    <x v="99"/>
    <x v="6"/>
    <x v="1"/>
    <x v="4"/>
    <x v="4"/>
    <n v="7"/>
    <n v="429.38"/>
    <n v="333.91"/>
    <n v="3005.66"/>
    <n v="2337.3700000000003"/>
    <n v="668.28999999999951"/>
  </r>
  <r>
    <x v="100"/>
    <x v="2"/>
    <x v="2"/>
    <x v="0"/>
    <x v="2"/>
    <n v="1"/>
    <n v="74.69"/>
    <n v="44.75"/>
    <n v="74.69"/>
    <n v="44.75"/>
    <n v="29.939999999999998"/>
  </r>
  <r>
    <x v="100"/>
    <x v="2"/>
    <x v="2"/>
    <x v="2"/>
    <x v="4"/>
    <n v="4"/>
    <n v="85.17"/>
    <n v="41.79"/>
    <n v="340.68"/>
    <n v="167.16"/>
    <n v="173.52"/>
  </r>
  <r>
    <x v="100"/>
    <x v="6"/>
    <x v="1"/>
    <x v="2"/>
    <x v="2"/>
    <n v="8"/>
    <n v="500.05"/>
    <n v="335.12"/>
    <n v="4000.4"/>
    <n v="2680.96"/>
    <n v="1319.44"/>
  </r>
  <r>
    <x v="101"/>
    <x v="7"/>
    <x v="3"/>
    <x v="1"/>
    <x v="1"/>
    <n v="8"/>
    <n v="86.67"/>
    <n v="54.03"/>
    <n v="693.36"/>
    <n v="432.24"/>
    <n v="261.12"/>
  </r>
  <r>
    <x v="101"/>
    <x v="5"/>
    <x v="2"/>
    <x v="6"/>
    <x v="0"/>
    <n v="1"/>
    <n v="680.21"/>
    <n v="501"/>
    <n v="680.21"/>
    <n v="501"/>
    <n v="179.21000000000004"/>
  </r>
  <r>
    <x v="101"/>
    <x v="2"/>
    <x v="2"/>
    <x v="2"/>
    <x v="4"/>
    <n v="9"/>
    <n v="70.56"/>
    <n v="49.28"/>
    <n v="635.04"/>
    <n v="443.52"/>
    <n v="191.51999999999998"/>
  </r>
  <r>
    <x v="102"/>
    <x v="8"/>
    <x v="3"/>
    <x v="6"/>
    <x v="2"/>
    <n v="6"/>
    <n v="1197.98"/>
    <n v="930.4"/>
    <n v="7187.88"/>
    <n v="5582.4"/>
    <n v="1605.4800000000005"/>
  </r>
  <r>
    <x v="102"/>
    <x v="0"/>
    <x v="0"/>
    <x v="5"/>
    <x v="0"/>
    <n v="3"/>
    <n v="302.25"/>
    <n v="181.59"/>
    <n v="906.75"/>
    <n v="544.77"/>
    <n v="361.98"/>
  </r>
  <r>
    <x v="102"/>
    <x v="7"/>
    <x v="3"/>
    <x v="1"/>
    <x v="1"/>
    <n v="3"/>
    <n v="90.33"/>
    <n v="46.98"/>
    <n v="270.99"/>
    <n v="140.94"/>
    <n v="130.05000000000001"/>
  </r>
  <r>
    <x v="103"/>
    <x v="6"/>
    <x v="1"/>
    <x v="2"/>
    <x v="3"/>
    <n v="4"/>
    <n v="447.92"/>
    <n v="312.91000000000003"/>
    <n v="1791.68"/>
    <n v="1251.6400000000001"/>
    <n v="540.04"/>
  </r>
  <r>
    <x v="104"/>
    <x v="6"/>
    <x v="1"/>
    <x v="0"/>
    <x v="2"/>
    <n v="10"/>
    <n v="386.96"/>
    <n v="289.98"/>
    <n v="3869.6"/>
    <n v="2899.8"/>
    <n v="969.79999999999973"/>
  </r>
  <r>
    <x v="104"/>
    <x v="9"/>
    <x v="0"/>
    <x v="2"/>
    <x v="4"/>
    <n v="4"/>
    <n v="61.78"/>
    <n v="44.52"/>
    <n v="247.12"/>
    <n v="178.08"/>
    <n v="69.039999999999992"/>
  </r>
  <r>
    <x v="105"/>
    <x v="7"/>
    <x v="3"/>
    <x v="1"/>
    <x v="1"/>
    <n v="3"/>
    <n v="76.150000000000006"/>
    <n v="53.69"/>
    <n v="228.45000000000002"/>
    <n v="161.07"/>
    <n v="67.380000000000024"/>
  </r>
  <r>
    <x v="106"/>
    <x v="5"/>
    <x v="2"/>
    <x v="2"/>
    <x v="4"/>
    <n v="8"/>
    <n v="776.44"/>
    <n v="526.64"/>
    <n v="6211.52"/>
    <n v="4213.12"/>
    <n v="1998.4000000000005"/>
  </r>
  <r>
    <x v="106"/>
    <x v="4"/>
    <x v="3"/>
    <x v="6"/>
    <x v="4"/>
    <n v="8"/>
    <n v="48.18"/>
    <n v="26.24"/>
    <n v="385.44"/>
    <n v="209.92"/>
    <n v="175.52"/>
  </r>
  <r>
    <x v="106"/>
    <x v="7"/>
    <x v="3"/>
    <x v="1"/>
    <x v="1"/>
    <n v="5"/>
    <n v="79"/>
    <n v="50.5"/>
    <n v="395"/>
    <n v="252.5"/>
    <n v="142.5"/>
  </r>
  <r>
    <x v="106"/>
    <x v="7"/>
    <x v="3"/>
    <x v="0"/>
    <x v="1"/>
    <n v="7"/>
    <n v="100.87"/>
    <n v="48.85"/>
    <n v="706.09"/>
    <n v="341.95"/>
    <n v="364.14000000000004"/>
  </r>
  <r>
    <x v="107"/>
    <x v="0"/>
    <x v="0"/>
    <x v="7"/>
    <x v="3"/>
    <n v="5"/>
    <n v="298.14"/>
    <n v="199.58"/>
    <n v="1490.6999999999998"/>
    <n v="997.90000000000009"/>
    <n v="492.79999999999973"/>
  </r>
  <r>
    <x v="108"/>
    <x v="6"/>
    <x v="1"/>
    <x v="2"/>
    <x v="1"/>
    <n v="2"/>
    <n v="387.48"/>
    <n v="317.5"/>
    <n v="774.96"/>
    <n v="635"/>
    <n v="139.96000000000004"/>
  </r>
  <r>
    <x v="109"/>
    <x v="9"/>
    <x v="0"/>
    <x v="2"/>
    <x v="2"/>
    <n v="7"/>
    <n v="72.61"/>
    <n v="45.04"/>
    <n v="508.27"/>
    <n v="315.27999999999997"/>
    <n v="192.99"/>
  </r>
  <r>
    <x v="109"/>
    <x v="5"/>
    <x v="2"/>
    <x v="2"/>
    <x v="0"/>
    <n v="2"/>
    <n v="645.01"/>
    <n v="468.67"/>
    <n v="1290.02"/>
    <n v="937.34"/>
    <n v="352.67999999999995"/>
  </r>
  <r>
    <x v="110"/>
    <x v="3"/>
    <x v="0"/>
    <x v="7"/>
    <x v="3"/>
    <n v="10"/>
    <n v="51.23"/>
    <n v="33.29"/>
    <n v="512.29999999999995"/>
    <n v="332.9"/>
    <n v="179.39999999999998"/>
  </r>
  <r>
    <x v="111"/>
    <x v="5"/>
    <x v="2"/>
    <x v="6"/>
    <x v="3"/>
    <n v="9"/>
    <n v="646.76"/>
    <n v="520.5"/>
    <n v="5820.84"/>
    <n v="4684.5"/>
    <n v="1136.3400000000001"/>
  </r>
  <r>
    <x v="111"/>
    <x v="1"/>
    <x v="1"/>
    <x v="4"/>
    <x v="3"/>
    <n v="10"/>
    <n v="343.84"/>
    <n v="221.68"/>
    <n v="3438.3999999999996"/>
    <n v="2216.8000000000002"/>
    <n v="1221.5999999999995"/>
  </r>
  <r>
    <x v="112"/>
    <x v="4"/>
    <x v="3"/>
    <x v="5"/>
    <x v="0"/>
    <n v="1"/>
    <n v="48.25"/>
    <n v="27.24"/>
    <n v="48.25"/>
    <n v="27.24"/>
    <n v="21.01"/>
  </r>
  <r>
    <x v="112"/>
    <x v="2"/>
    <x v="2"/>
    <x v="1"/>
    <x v="2"/>
    <n v="1"/>
    <n v="63.98"/>
    <n v="46.63"/>
    <n v="63.98"/>
    <n v="46.63"/>
    <n v="17.349999999999994"/>
  </r>
  <r>
    <x v="113"/>
    <x v="0"/>
    <x v="0"/>
    <x v="2"/>
    <x v="3"/>
    <n v="5"/>
    <n v="295.27999999999997"/>
    <n v="181.53"/>
    <n v="1476.3999999999999"/>
    <n v="907.65"/>
    <n v="568.74999999999989"/>
  </r>
  <r>
    <x v="113"/>
    <x v="6"/>
    <x v="1"/>
    <x v="4"/>
    <x v="2"/>
    <n v="5"/>
    <n v="382.69"/>
    <n v="339.93"/>
    <n v="1913.45"/>
    <n v="1699.65"/>
    <n v="213.79999999999995"/>
  </r>
  <r>
    <x v="114"/>
    <x v="2"/>
    <x v="2"/>
    <x v="4"/>
    <x v="1"/>
    <n v="10"/>
    <n v="74.36"/>
    <n v="40.54"/>
    <n v="743.6"/>
    <n v="405.4"/>
    <n v="338.20000000000005"/>
  </r>
  <r>
    <x v="114"/>
    <x v="9"/>
    <x v="0"/>
    <x v="7"/>
    <x v="4"/>
    <n v="7"/>
    <n v="65.959999999999994"/>
    <n v="43.93"/>
    <n v="461.71999999999997"/>
    <n v="307.51"/>
    <n v="154.20999999999998"/>
  </r>
  <r>
    <x v="115"/>
    <x v="9"/>
    <x v="0"/>
    <x v="4"/>
    <x v="3"/>
    <n v="10"/>
    <n v="61.7"/>
    <n v="42.36"/>
    <n v="617"/>
    <n v="423.6"/>
    <n v="193.39999999999998"/>
  </r>
  <r>
    <x v="115"/>
    <x v="6"/>
    <x v="1"/>
    <x v="1"/>
    <x v="0"/>
    <n v="4"/>
    <n v="426.53"/>
    <n v="335.15"/>
    <n v="1706.12"/>
    <n v="1340.6"/>
    <n v="365.52"/>
  </r>
  <r>
    <x v="115"/>
    <x v="0"/>
    <x v="0"/>
    <x v="2"/>
    <x v="3"/>
    <n v="3"/>
    <n v="257.68"/>
    <n v="186.53"/>
    <n v="773.04"/>
    <n v="559.59"/>
    <n v="213.44999999999993"/>
  </r>
  <r>
    <x v="116"/>
    <x v="2"/>
    <x v="2"/>
    <x v="6"/>
    <x v="1"/>
    <n v="5"/>
    <n v="72.19"/>
    <n v="48.22"/>
    <n v="360.95"/>
    <n v="241.1"/>
    <n v="119.85"/>
  </r>
  <r>
    <x v="116"/>
    <x v="3"/>
    <x v="0"/>
    <x v="2"/>
    <x v="3"/>
    <n v="8"/>
    <n v="48.38"/>
    <n v="35.950000000000003"/>
    <n v="387.04"/>
    <n v="287.60000000000002"/>
    <n v="99.44"/>
  </r>
  <r>
    <x v="116"/>
    <x v="5"/>
    <x v="2"/>
    <x v="6"/>
    <x v="0"/>
    <n v="3"/>
    <n v="743.62"/>
    <n v="438.15"/>
    <n v="2230.86"/>
    <n v="1314.4499999999998"/>
    <n v="916.41000000000031"/>
  </r>
  <r>
    <x v="117"/>
    <x v="1"/>
    <x v="1"/>
    <x v="5"/>
    <x v="1"/>
    <n v="8"/>
    <n v="275.55"/>
    <n v="194.43"/>
    <n v="2204.4"/>
    <n v="1555.44"/>
    <n v="648.96"/>
  </r>
  <r>
    <x v="117"/>
    <x v="5"/>
    <x v="2"/>
    <x v="4"/>
    <x v="4"/>
    <n v="2"/>
    <n v="593.71"/>
    <n v="459.79"/>
    <n v="1187.42"/>
    <n v="919.58"/>
    <n v="267.84000000000003"/>
  </r>
  <r>
    <x v="117"/>
    <x v="5"/>
    <x v="2"/>
    <x v="4"/>
    <x v="2"/>
    <n v="7"/>
    <n v="735.35"/>
    <n v="509.49"/>
    <n v="5147.45"/>
    <n v="3566.4300000000003"/>
    <n v="1581.0199999999995"/>
  </r>
  <r>
    <x v="118"/>
    <x v="8"/>
    <x v="3"/>
    <x v="0"/>
    <x v="0"/>
    <n v="2"/>
    <n v="1020.09"/>
    <n v="856.25"/>
    <n v="2040.18"/>
    <n v="1712.5"/>
    <n v="327.68000000000006"/>
  </r>
  <r>
    <x v="118"/>
    <x v="7"/>
    <x v="3"/>
    <x v="2"/>
    <x v="2"/>
    <n v="1"/>
    <n v="83.44"/>
    <n v="46.82"/>
    <n v="83.44"/>
    <n v="46.82"/>
    <n v="36.619999999999997"/>
  </r>
  <r>
    <x v="118"/>
    <x v="5"/>
    <x v="2"/>
    <x v="3"/>
    <x v="4"/>
    <n v="7"/>
    <n v="604.97"/>
    <n v="455.48"/>
    <n v="4234.79"/>
    <n v="3188.36"/>
    <n v="1046.4299999999998"/>
  </r>
  <r>
    <x v="119"/>
    <x v="5"/>
    <x v="2"/>
    <x v="5"/>
    <x v="4"/>
    <n v="10"/>
    <n v="654.23"/>
    <n v="492.08"/>
    <n v="6542.3"/>
    <n v="4920.8"/>
    <n v="1621.5"/>
  </r>
  <r>
    <x v="119"/>
    <x v="8"/>
    <x v="3"/>
    <x v="1"/>
    <x v="3"/>
    <n v="10"/>
    <n v="1252.75"/>
    <n v="845.91"/>
    <n v="12527.5"/>
    <n v="8459.1"/>
    <n v="4068.3999999999996"/>
  </r>
  <r>
    <x v="119"/>
    <x v="7"/>
    <x v="3"/>
    <x v="6"/>
    <x v="0"/>
    <n v="5"/>
    <n v="85.4"/>
    <n v="55.87"/>
    <n v="427"/>
    <n v="279.34999999999997"/>
    <n v="147.65000000000003"/>
  </r>
  <r>
    <x v="120"/>
    <x v="7"/>
    <x v="3"/>
    <x v="6"/>
    <x v="3"/>
    <n v="3"/>
    <n v="93.97"/>
    <n v="52.94"/>
    <n v="281.90999999999997"/>
    <n v="158.82"/>
    <n v="123.08999999999997"/>
  </r>
  <r>
    <x v="121"/>
    <x v="6"/>
    <x v="1"/>
    <x v="3"/>
    <x v="1"/>
    <n v="10"/>
    <n v="436.68"/>
    <n v="289.31"/>
    <n v="4366.8"/>
    <n v="2893.1"/>
    <n v="1473.7000000000003"/>
  </r>
  <r>
    <x v="121"/>
    <x v="4"/>
    <x v="3"/>
    <x v="3"/>
    <x v="4"/>
    <n v="3"/>
    <n v="41.35"/>
    <n v="26.93"/>
    <n v="124.05000000000001"/>
    <n v="80.789999999999992"/>
    <n v="43.260000000000019"/>
  </r>
  <r>
    <x v="121"/>
    <x v="0"/>
    <x v="0"/>
    <x v="1"/>
    <x v="2"/>
    <n v="1"/>
    <n v="243.48"/>
    <n v="193.66"/>
    <n v="243.48"/>
    <n v="193.66"/>
    <n v="49.819999999999993"/>
  </r>
  <r>
    <x v="122"/>
    <x v="1"/>
    <x v="1"/>
    <x v="6"/>
    <x v="0"/>
    <n v="6"/>
    <n v="285.32"/>
    <n v="210.72"/>
    <n v="1711.92"/>
    <n v="1264.32"/>
    <n v="447.60000000000014"/>
  </r>
  <r>
    <x v="123"/>
    <x v="0"/>
    <x v="0"/>
    <x v="2"/>
    <x v="0"/>
    <n v="10"/>
    <n v="319.12"/>
    <n v="204.11"/>
    <n v="3191.2"/>
    <n v="2041.1000000000001"/>
    <n v="1150.0999999999997"/>
  </r>
  <r>
    <x v="123"/>
    <x v="0"/>
    <x v="0"/>
    <x v="2"/>
    <x v="1"/>
    <n v="10"/>
    <n v="290.22000000000003"/>
    <n v="204.82"/>
    <n v="2902.2000000000003"/>
    <n v="2048.1999999999998"/>
    <n v="854.00000000000045"/>
  </r>
  <r>
    <x v="123"/>
    <x v="6"/>
    <x v="1"/>
    <x v="5"/>
    <x v="0"/>
    <n v="1"/>
    <n v="459.66"/>
    <n v="301.69"/>
    <n v="459.66"/>
    <n v="301.69"/>
    <n v="157.97000000000003"/>
  </r>
  <r>
    <x v="124"/>
    <x v="5"/>
    <x v="2"/>
    <x v="3"/>
    <x v="4"/>
    <n v="8"/>
    <n v="659.39"/>
    <n v="514.57000000000005"/>
    <n v="5275.12"/>
    <n v="4116.5600000000004"/>
    <n v="1158.5599999999995"/>
  </r>
  <r>
    <x v="125"/>
    <x v="2"/>
    <x v="2"/>
    <x v="2"/>
    <x v="1"/>
    <n v="3"/>
    <n v="81.66"/>
    <n v="48.09"/>
    <n v="244.98"/>
    <n v="144.27000000000001"/>
    <n v="100.70999999999998"/>
  </r>
  <r>
    <x v="126"/>
    <x v="9"/>
    <x v="0"/>
    <x v="6"/>
    <x v="0"/>
    <n v="3"/>
    <n v="63.88"/>
    <n v="39.31"/>
    <n v="191.64000000000001"/>
    <n v="117.93"/>
    <n v="73.710000000000008"/>
  </r>
  <r>
    <x v="126"/>
    <x v="8"/>
    <x v="3"/>
    <x v="4"/>
    <x v="0"/>
    <n v="3"/>
    <n v="1186.06"/>
    <n v="789.01"/>
    <n v="3558.18"/>
    <n v="2367.0299999999997"/>
    <n v="1191.1500000000001"/>
  </r>
  <r>
    <x v="127"/>
    <x v="8"/>
    <x v="3"/>
    <x v="4"/>
    <x v="4"/>
    <n v="3"/>
    <n v="1238.5"/>
    <n v="767.49"/>
    <n v="3715.5"/>
    <n v="2302.4700000000003"/>
    <n v="1413.0299999999997"/>
  </r>
  <r>
    <x v="127"/>
    <x v="0"/>
    <x v="0"/>
    <x v="1"/>
    <x v="0"/>
    <n v="2"/>
    <n v="315.66000000000003"/>
    <n v="171.76"/>
    <n v="631.32000000000005"/>
    <n v="343.52"/>
    <n v="287.80000000000007"/>
  </r>
  <r>
    <x v="127"/>
    <x v="4"/>
    <x v="3"/>
    <x v="3"/>
    <x v="1"/>
    <n v="2"/>
    <n v="51.11"/>
    <n v="26.82"/>
    <n v="102.22"/>
    <n v="53.64"/>
    <n v="48.58"/>
  </r>
  <r>
    <x v="128"/>
    <x v="2"/>
    <x v="2"/>
    <x v="2"/>
    <x v="0"/>
    <n v="6"/>
    <n v="66.14"/>
    <n v="49.49"/>
    <n v="396.84000000000003"/>
    <n v="296.94"/>
    <n v="99.900000000000034"/>
  </r>
  <r>
    <x v="128"/>
    <x v="9"/>
    <x v="0"/>
    <x v="5"/>
    <x v="1"/>
    <n v="1"/>
    <n v="56.87"/>
    <n v="39.86"/>
    <n v="56.87"/>
    <n v="39.86"/>
    <n v="17.009999999999998"/>
  </r>
  <r>
    <x v="128"/>
    <x v="7"/>
    <x v="3"/>
    <x v="5"/>
    <x v="1"/>
    <n v="7"/>
    <n v="94.17"/>
    <n v="52.34"/>
    <n v="659.19"/>
    <n v="366.38"/>
    <n v="292.81000000000006"/>
  </r>
  <r>
    <x v="129"/>
    <x v="2"/>
    <x v="2"/>
    <x v="6"/>
    <x v="3"/>
    <n v="9"/>
    <n v="72.09"/>
    <n v="43.22"/>
    <n v="648.81000000000006"/>
    <n v="388.98"/>
    <n v="259.83000000000004"/>
  </r>
  <r>
    <x v="129"/>
    <x v="1"/>
    <x v="1"/>
    <x v="5"/>
    <x v="2"/>
    <n v="9"/>
    <n v="364.62"/>
    <n v="189.72"/>
    <n v="3281.58"/>
    <n v="1707.48"/>
    <n v="1574.1"/>
  </r>
  <r>
    <x v="129"/>
    <x v="0"/>
    <x v="0"/>
    <x v="5"/>
    <x v="2"/>
    <n v="6"/>
    <n v="291.52999999999997"/>
    <n v="199.46"/>
    <n v="1749.1799999999998"/>
    <n v="1196.76"/>
    <n v="552.41999999999985"/>
  </r>
  <r>
    <x v="130"/>
    <x v="0"/>
    <x v="0"/>
    <x v="3"/>
    <x v="2"/>
    <n v="4"/>
    <n v="239.52"/>
    <n v="201.9"/>
    <n v="958.08"/>
    <n v="807.6"/>
    <n v="150.48000000000002"/>
  </r>
  <r>
    <x v="130"/>
    <x v="4"/>
    <x v="3"/>
    <x v="3"/>
    <x v="2"/>
    <n v="3"/>
    <n v="44.37"/>
    <n v="23.78"/>
    <n v="133.10999999999999"/>
    <n v="71.34"/>
    <n v="61.769999999999982"/>
  </r>
  <r>
    <x v="130"/>
    <x v="0"/>
    <x v="0"/>
    <x v="6"/>
    <x v="3"/>
    <n v="1"/>
    <n v="286.39999999999998"/>
    <n v="190.87"/>
    <n v="286.39999999999998"/>
    <n v="190.87"/>
    <n v="95.529999999999973"/>
  </r>
  <r>
    <x v="131"/>
    <x v="5"/>
    <x v="2"/>
    <x v="2"/>
    <x v="1"/>
    <n v="6"/>
    <n v="677.83"/>
    <n v="466.15"/>
    <n v="4066.9800000000005"/>
    <n v="2796.8999999999996"/>
    <n v="1270.0800000000008"/>
  </r>
  <r>
    <x v="131"/>
    <x v="0"/>
    <x v="0"/>
    <x v="6"/>
    <x v="4"/>
    <n v="2"/>
    <n v="285.63"/>
    <n v="200.84"/>
    <n v="571.26"/>
    <n v="401.68"/>
    <n v="169.57999999999998"/>
  </r>
  <r>
    <x v="131"/>
    <x v="2"/>
    <x v="2"/>
    <x v="6"/>
    <x v="1"/>
    <n v="8"/>
    <n v="85.11"/>
    <n v="42.89"/>
    <n v="680.88"/>
    <n v="343.12"/>
    <n v="337.76"/>
  </r>
  <r>
    <x v="132"/>
    <x v="3"/>
    <x v="0"/>
    <x v="5"/>
    <x v="4"/>
    <n v="5"/>
    <n v="59.45"/>
    <n v="37.340000000000003"/>
    <n v="297.25"/>
    <n v="186.70000000000002"/>
    <n v="110.54999999999998"/>
  </r>
  <r>
    <x v="132"/>
    <x v="0"/>
    <x v="0"/>
    <x v="2"/>
    <x v="0"/>
    <n v="3"/>
    <n v="244.97"/>
    <n v="189.36"/>
    <n v="734.91"/>
    <n v="568.08000000000004"/>
    <n v="166.82999999999993"/>
  </r>
  <r>
    <x v="133"/>
    <x v="9"/>
    <x v="0"/>
    <x v="0"/>
    <x v="0"/>
    <n v="1"/>
    <n v="59.85"/>
    <n v="41.11"/>
    <n v="59.85"/>
    <n v="41.11"/>
    <n v="18.740000000000002"/>
  </r>
  <r>
    <x v="134"/>
    <x v="8"/>
    <x v="3"/>
    <x v="1"/>
    <x v="0"/>
    <n v="6"/>
    <n v="1317.14"/>
    <n v="775.71"/>
    <n v="7902.84"/>
    <n v="4654.26"/>
    <n v="3248.58"/>
  </r>
  <r>
    <x v="134"/>
    <x v="4"/>
    <x v="3"/>
    <x v="1"/>
    <x v="4"/>
    <n v="9"/>
    <n v="49.55"/>
    <n v="25.18"/>
    <n v="445.95"/>
    <n v="226.62"/>
    <n v="219.32999999999998"/>
  </r>
  <r>
    <x v="134"/>
    <x v="8"/>
    <x v="3"/>
    <x v="4"/>
    <x v="0"/>
    <n v="5"/>
    <n v="1190.5899999999999"/>
    <n v="774.49"/>
    <n v="5952.95"/>
    <n v="3872.45"/>
    <n v="2080.5"/>
  </r>
  <r>
    <x v="135"/>
    <x v="7"/>
    <x v="3"/>
    <x v="0"/>
    <x v="3"/>
    <n v="9"/>
    <n v="84.52"/>
    <n v="51.17"/>
    <n v="760.68"/>
    <n v="460.53000000000003"/>
    <n v="300.14999999999992"/>
  </r>
  <r>
    <x v="135"/>
    <x v="2"/>
    <x v="2"/>
    <x v="4"/>
    <x v="1"/>
    <n v="10"/>
    <n v="82.12"/>
    <n v="46.44"/>
    <n v="821.2"/>
    <n v="464.4"/>
    <n v="356.80000000000007"/>
  </r>
  <r>
    <x v="135"/>
    <x v="9"/>
    <x v="0"/>
    <x v="5"/>
    <x v="3"/>
    <n v="8"/>
    <n v="55.79"/>
    <n v="39.630000000000003"/>
    <n v="446.32"/>
    <n v="317.04000000000002"/>
    <n v="129.27999999999997"/>
  </r>
  <r>
    <x v="135"/>
    <x v="0"/>
    <x v="0"/>
    <x v="7"/>
    <x v="0"/>
    <n v="4"/>
    <n v="243.38"/>
    <n v="194.11"/>
    <n v="973.52"/>
    <n v="776.44"/>
    <n v="197.07999999999993"/>
  </r>
  <r>
    <x v="136"/>
    <x v="2"/>
    <x v="2"/>
    <x v="3"/>
    <x v="2"/>
    <n v="5"/>
    <n v="65.03"/>
    <n v="48.4"/>
    <n v="325.14999999999998"/>
    <n v="242"/>
    <n v="83.149999999999977"/>
  </r>
  <r>
    <x v="136"/>
    <x v="3"/>
    <x v="0"/>
    <x v="2"/>
    <x v="2"/>
    <n v="1"/>
    <n v="57.08"/>
    <n v="35.869999999999997"/>
    <n v="57.08"/>
    <n v="35.869999999999997"/>
    <n v="21.21"/>
  </r>
  <r>
    <x v="136"/>
    <x v="6"/>
    <x v="1"/>
    <x v="2"/>
    <x v="3"/>
    <n v="8"/>
    <n v="513.89"/>
    <n v="293.60000000000002"/>
    <n v="4111.12"/>
    <n v="2348.8000000000002"/>
    <n v="1762.3199999999997"/>
  </r>
  <r>
    <x v="137"/>
    <x v="0"/>
    <x v="0"/>
    <x v="4"/>
    <x v="3"/>
    <n v="8"/>
    <n v="309.68"/>
    <n v="200.9"/>
    <n v="2477.44"/>
    <n v="1607.2"/>
    <n v="870.24"/>
  </r>
  <r>
    <x v="138"/>
    <x v="0"/>
    <x v="0"/>
    <x v="2"/>
    <x v="0"/>
    <n v="7"/>
    <n v="304.48"/>
    <n v="172.35"/>
    <n v="2131.36"/>
    <n v="1206.45"/>
    <n v="924.91000000000008"/>
  </r>
  <r>
    <x v="138"/>
    <x v="8"/>
    <x v="3"/>
    <x v="0"/>
    <x v="2"/>
    <n v="8"/>
    <n v="1230.28"/>
    <n v="807.11"/>
    <n v="9842.24"/>
    <n v="6456.88"/>
    <n v="3385.3599999999997"/>
  </r>
  <r>
    <x v="138"/>
    <x v="0"/>
    <x v="0"/>
    <x v="6"/>
    <x v="3"/>
    <n v="10"/>
    <n v="306.08999999999997"/>
    <n v="176.21"/>
    <n v="3060.8999999999996"/>
    <n v="1762.1000000000001"/>
    <n v="1298.7999999999995"/>
  </r>
  <r>
    <x v="139"/>
    <x v="1"/>
    <x v="1"/>
    <x v="0"/>
    <x v="1"/>
    <n v="10"/>
    <n v="342.44"/>
    <n v="206.96"/>
    <n v="3424.4"/>
    <n v="2069.6"/>
    <n v="1354.8000000000002"/>
  </r>
  <r>
    <x v="139"/>
    <x v="3"/>
    <x v="0"/>
    <x v="2"/>
    <x v="4"/>
    <n v="5"/>
    <n v="51.1"/>
    <n v="31.87"/>
    <n v="255.5"/>
    <n v="159.35"/>
    <n v="96.15"/>
  </r>
  <r>
    <x v="140"/>
    <x v="5"/>
    <x v="2"/>
    <x v="1"/>
    <x v="3"/>
    <n v="4"/>
    <n v="621.04999999999995"/>
    <n v="507.1"/>
    <n v="2484.1999999999998"/>
    <n v="2028.4"/>
    <n v="455.79999999999973"/>
  </r>
  <r>
    <x v="141"/>
    <x v="9"/>
    <x v="0"/>
    <x v="5"/>
    <x v="4"/>
    <n v="7"/>
    <n v="64.88"/>
    <n v="41.99"/>
    <n v="454.15999999999997"/>
    <n v="293.93"/>
    <n v="160.22999999999996"/>
  </r>
  <r>
    <x v="142"/>
    <x v="9"/>
    <x v="0"/>
    <x v="5"/>
    <x v="4"/>
    <n v="5"/>
    <n v="67.2"/>
    <n v="42.82"/>
    <n v="336"/>
    <n v="214.1"/>
    <n v="121.9"/>
  </r>
  <r>
    <x v="142"/>
    <x v="2"/>
    <x v="2"/>
    <x v="6"/>
    <x v="3"/>
    <n v="9"/>
    <n v="68.260000000000005"/>
    <n v="42.49"/>
    <n v="614.34"/>
    <n v="382.41"/>
    <n v="231.93"/>
  </r>
  <r>
    <x v="143"/>
    <x v="1"/>
    <x v="1"/>
    <x v="2"/>
    <x v="0"/>
    <n v="3"/>
    <n v="279.82"/>
    <n v="201.79"/>
    <n v="839.46"/>
    <n v="605.37"/>
    <n v="234.09000000000003"/>
  </r>
  <r>
    <x v="144"/>
    <x v="4"/>
    <x v="3"/>
    <x v="6"/>
    <x v="2"/>
    <n v="2"/>
    <n v="40.28"/>
    <n v="27.17"/>
    <n v="80.56"/>
    <n v="54.34"/>
    <n v="26.22"/>
  </r>
  <r>
    <x v="144"/>
    <x v="0"/>
    <x v="0"/>
    <x v="3"/>
    <x v="2"/>
    <n v="4"/>
    <n v="265.73"/>
    <n v="207.8"/>
    <n v="1062.92"/>
    <n v="831.2"/>
    <n v="231.72000000000003"/>
  </r>
  <r>
    <x v="145"/>
    <x v="5"/>
    <x v="2"/>
    <x v="4"/>
    <x v="4"/>
    <n v="3"/>
    <n v="662.83"/>
    <n v="465.65"/>
    <n v="1988.4900000000002"/>
    <n v="1396.9499999999998"/>
    <n v="591.54000000000042"/>
  </r>
  <r>
    <x v="145"/>
    <x v="9"/>
    <x v="0"/>
    <x v="1"/>
    <x v="3"/>
    <n v="2"/>
    <n v="63.5"/>
    <n v="45.6"/>
    <n v="127"/>
    <n v="91.2"/>
    <n v="35.799999999999997"/>
  </r>
  <r>
    <x v="145"/>
    <x v="1"/>
    <x v="1"/>
    <x v="0"/>
    <x v="2"/>
    <n v="4"/>
    <n v="296.49"/>
    <n v="204.44"/>
    <n v="1185.96"/>
    <n v="817.76"/>
    <n v="368.20000000000005"/>
  </r>
  <r>
    <x v="146"/>
    <x v="4"/>
    <x v="3"/>
    <x v="6"/>
    <x v="2"/>
    <n v="1"/>
    <n v="46.61"/>
    <n v="25.4"/>
    <n v="46.61"/>
    <n v="25.4"/>
    <n v="21.21"/>
  </r>
  <r>
    <x v="147"/>
    <x v="9"/>
    <x v="0"/>
    <x v="7"/>
    <x v="0"/>
    <n v="6"/>
    <n v="67.33"/>
    <n v="42.9"/>
    <n v="403.98"/>
    <n v="257.39999999999998"/>
    <n v="146.58000000000004"/>
  </r>
  <r>
    <x v="147"/>
    <x v="1"/>
    <x v="1"/>
    <x v="5"/>
    <x v="2"/>
    <n v="7"/>
    <n v="363.45"/>
    <n v="193.19"/>
    <n v="2544.15"/>
    <n v="1352.33"/>
    <n v="1191.8200000000002"/>
  </r>
  <r>
    <x v="147"/>
    <x v="0"/>
    <x v="0"/>
    <x v="1"/>
    <x v="0"/>
    <n v="5"/>
    <n v="306.54000000000002"/>
    <n v="207.35"/>
    <n v="1532.7"/>
    <n v="1036.75"/>
    <n v="495.95000000000005"/>
  </r>
  <r>
    <x v="148"/>
    <x v="7"/>
    <x v="3"/>
    <x v="5"/>
    <x v="2"/>
    <n v="6"/>
    <n v="101.98"/>
    <n v="56.27"/>
    <n v="611.88"/>
    <n v="337.62"/>
    <n v="274.26"/>
  </r>
  <r>
    <x v="149"/>
    <x v="8"/>
    <x v="3"/>
    <x v="5"/>
    <x v="4"/>
    <n v="10"/>
    <n v="1144.42"/>
    <n v="879.87"/>
    <n v="11444.2"/>
    <n v="8798.7000000000007"/>
    <n v="2645.5"/>
  </r>
  <r>
    <x v="150"/>
    <x v="7"/>
    <x v="3"/>
    <x v="3"/>
    <x v="3"/>
    <n v="2"/>
    <n v="94.46"/>
    <n v="48.35"/>
    <n v="188.92"/>
    <n v="96.7"/>
    <n v="92.219999999999985"/>
  </r>
  <r>
    <x v="150"/>
    <x v="6"/>
    <x v="1"/>
    <x v="5"/>
    <x v="0"/>
    <n v="5"/>
    <n v="397.72"/>
    <n v="283.94"/>
    <n v="1988.6000000000001"/>
    <n v="1419.7"/>
    <n v="568.90000000000009"/>
  </r>
  <r>
    <x v="151"/>
    <x v="1"/>
    <x v="1"/>
    <x v="4"/>
    <x v="2"/>
    <n v="10"/>
    <n v="340.5"/>
    <n v="203.2"/>
    <n v="3405"/>
    <n v="2032"/>
    <n v="1373"/>
  </r>
  <r>
    <x v="152"/>
    <x v="6"/>
    <x v="1"/>
    <x v="1"/>
    <x v="2"/>
    <n v="7"/>
    <n v="470.67"/>
    <n v="331.77"/>
    <n v="3294.69"/>
    <n v="2322.39"/>
    <n v="972.30000000000018"/>
  </r>
  <r>
    <x v="153"/>
    <x v="1"/>
    <x v="1"/>
    <x v="2"/>
    <x v="4"/>
    <n v="4"/>
    <n v="279.54000000000002"/>
    <n v="225.49"/>
    <n v="1118.1600000000001"/>
    <n v="901.96"/>
    <n v="216.20000000000005"/>
  </r>
  <r>
    <x v="153"/>
    <x v="6"/>
    <x v="1"/>
    <x v="0"/>
    <x v="1"/>
    <n v="3"/>
    <n v="505.87"/>
    <n v="318.05"/>
    <n v="1517.6100000000001"/>
    <n v="954.15000000000009"/>
    <n v="563.46"/>
  </r>
  <r>
    <x v="154"/>
    <x v="2"/>
    <x v="2"/>
    <x v="1"/>
    <x v="1"/>
    <n v="1"/>
    <n v="71.010000000000005"/>
    <n v="47.61"/>
    <n v="71.010000000000005"/>
    <n v="47.61"/>
    <n v="23.400000000000006"/>
  </r>
  <r>
    <x v="155"/>
    <x v="3"/>
    <x v="0"/>
    <x v="5"/>
    <x v="3"/>
    <n v="5"/>
    <n v="58.87"/>
    <n v="33.44"/>
    <n v="294.34999999999997"/>
    <n v="167.2"/>
    <n v="127.14999999999998"/>
  </r>
  <r>
    <x v="155"/>
    <x v="3"/>
    <x v="0"/>
    <x v="1"/>
    <x v="3"/>
    <n v="4"/>
    <n v="52.85"/>
    <n v="33.79"/>
    <n v="211.4"/>
    <n v="135.16"/>
    <n v="76.240000000000009"/>
  </r>
  <r>
    <x v="155"/>
    <x v="1"/>
    <x v="1"/>
    <x v="3"/>
    <x v="1"/>
    <n v="10"/>
    <n v="292.91000000000003"/>
    <n v="214"/>
    <n v="2929.1000000000004"/>
    <n v="2140"/>
    <n v="789.10000000000036"/>
  </r>
  <r>
    <x v="156"/>
    <x v="0"/>
    <x v="0"/>
    <x v="4"/>
    <x v="3"/>
    <n v="1"/>
    <n v="306.83999999999997"/>
    <n v="198.57"/>
    <n v="306.83999999999997"/>
    <n v="198.57"/>
    <n v="108.26999999999998"/>
  </r>
  <r>
    <x v="156"/>
    <x v="4"/>
    <x v="3"/>
    <x v="2"/>
    <x v="0"/>
    <n v="1"/>
    <n v="48.38"/>
    <n v="25.24"/>
    <n v="48.38"/>
    <n v="25.24"/>
    <n v="23.140000000000004"/>
  </r>
  <r>
    <x v="157"/>
    <x v="4"/>
    <x v="3"/>
    <x v="7"/>
    <x v="3"/>
    <n v="5"/>
    <n v="43.82"/>
    <n v="26.06"/>
    <n v="219.1"/>
    <n v="130.29999999999998"/>
    <n v="88.800000000000011"/>
  </r>
  <r>
    <x v="157"/>
    <x v="8"/>
    <x v="3"/>
    <x v="3"/>
    <x v="2"/>
    <n v="10"/>
    <n v="1267.22"/>
    <n v="881.81"/>
    <n v="12672.2"/>
    <n v="8818.0999999999985"/>
    <n v="3854.1000000000022"/>
  </r>
  <r>
    <x v="157"/>
    <x v="9"/>
    <x v="0"/>
    <x v="3"/>
    <x v="3"/>
    <n v="10"/>
    <n v="58.51"/>
    <n v="40.950000000000003"/>
    <n v="585.1"/>
    <n v="409.5"/>
    <n v="175.60000000000002"/>
  </r>
  <r>
    <x v="158"/>
    <x v="1"/>
    <x v="1"/>
    <x v="5"/>
    <x v="2"/>
    <n v="8"/>
    <n v="275.07"/>
    <n v="192.72"/>
    <n v="2200.56"/>
    <n v="1541.76"/>
    <n v="658.8"/>
  </r>
  <r>
    <x v="159"/>
    <x v="1"/>
    <x v="1"/>
    <x v="0"/>
    <x v="0"/>
    <n v="10"/>
    <n v="345.08"/>
    <n v="213.4"/>
    <n v="3450.7999999999997"/>
    <n v="2134"/>
    <n v="1316.7999999999997"/>
  </r>
  <r>
    <x v="160"/>
    <x v="8"/>
    <x v="3"/>
    <x v="7"/>
    <x v="2"/>
    <n v="3"/>
    <n v="1269.27"/>
    <n v="805.72"/>
    <n v="3807.81"/>
    <n v="2417.16"/>
    <n v="1390.65"/>
  </r>
  <r>
    <x v="160"/>
    <x v="5"/>
    <x v="2"/>
    <x v="1"/>
    <x v="4"/>
    <n v="4"/>
    <n v="652.58000000000004"/>
    <n v="518.87"/>
    <n v="2610.3200000000002"/>
    <n v="2075.48"/>
    <n v="534.84000000000015"/>
  </r>
  <r>
    <x v="161"/>
    <x v="9"/>
    <x v="0"/>
    <x v="5"/>
    <x v="2"/>
    <n v="5"/>
    <n v="56.69"/>
    <n v="41.07"/>
    <n v="283.45"/>
    <n v="205.35"/>
    <n v="78.099999999999994"/>
  </r>
  <r>
    <x v="161"/>
    <x v="7"/>
    <x v="3"/>
    <x v="3"/>
    <x v="2"/>
    <n v="7"/>
    <n v="91.96"/>
    <n v="49.36"/>
    <n v="643.71999999999991"/>
    <n v="345.52"/>
    <n v="298.19999999999993"/>
  </r>
  <r>
    <x v="162"/>
    <x v="9"/>
    <x v="0"/>
    <x v="1"/>
    <x v="2"/>
    <n v="4"/>
    <n v="70.69"/>
    <n v="44.57"/>
    <n v="282.76"/>
    <n v="178.28"/>
    <n v="104.47999999999999"/>
  </r>
  <r>
    <x v="162"/>
    <x v="9"/>
    <x v="0"/>
    <x v="2"/>
    <x v="3"/>
    <n v="10"/>
    <n v="63.89"/>
    <n v="40.97"/>
    <n v="638.9"/>
    <n v="409.7"/>
    <n v="229.2"/>
  </r>
  <r>
    <x v="163"/>
    <x v="9"/>
    <x v="0"/>
    <x v="2"/>
    <x v="4"/>
    <n v="4"/>
    <n v="55.3"/>
    <n v="39.909999999999997"/>
    <n v="221.2"/>
    <n v="159.63999999999999"/>
    <n v="61.56"/>
  </r>
  <r>
    <x v="163"/>
    <x v="4"/>
    <x v="3"/>
    <x v="0"/>
    <x v="0"/>
    <n v="9"/>
    <n v="46.58"/>
    <n v="26.28"/>
    <n v="419.21999999999997"/>
    <n v="236.52"/>
    <n v="182.69999999999996"/>
  </r>
  <r>
    <x v="163"/>
    <x v="0"/>
    <x v="0"/>
    <x v="1"/>
    <x v="2"/>
    <n v="5"/>
    <n v="265.39999999999998"/>
    <n v="207.75"/>
    <n v="1327"/>
    <n v="1038.75"/>
    <n v="288.25"/>
  </r>
  <r>
    <x v="164"/>
    <x v="0"/>
    <x v="0"/>
    <x v="5"/>
    <x v="1"/>
    <n v="6"/>
    <n v="316.60000000000002"/>
    <n v="175.52"/>
    <n v="1899.6000000000001"/>
    <n v="1053.1200000000001"/>
    <n v="846.48"/>
  </r>
  <r>
    <x v="164"/>
    <x v="5"/>
    <x v="2"/>
    <x v="1"/>
    <x v="0"/>
    <n v="3"/>
    <n v="657.8"/>
    <n v="507.7"/>
    <n v="1973.3999999999999"/>
    <n v="1523.1"/>
    <n v="450.29999999999995"/>
  </r>
  <r>
    <x v="165"/>
    <x v="7"/>
    <x v="3"/>
    <x v="6"/>
    <x v="0"/>
    <n v="7"/>
    <n v="93.2"/>
    <n v="50.91"/>
    <n v="652.4"/>
    <n v="356.37"/>
    <n v="296.02999999999997"/>
  </r>
  <r>
    <x v="165"/>
    <x v="8"/>
    <x v="3"/>
    <x v="6"/>
    <x v="0"/>
    <n v="3"/>
    <n v="1031.53"/>
    <n v="841.93"/>
    <n v="3094.59"/>
    <n v="2525.79"/>
    <n v="568.80000000000018"/>
  </r>
  <r>
    <x v="166"/>
    <x v="4"/>
    <x v="3"/>
    <x v="4"/>
    <x v="0"/>
    <n v="6"/>
    <n v="43.16"/>
    <n v="26.88"/>
    <n v="258.95999999999998"/>
    <n v="161.28"/>
    <n v="97.679999999999978"/>
  </r>
  <r>
    <x v="167"/>
    <x v="8"/>
    <x v="3"/>
    <x v="4"/>
    <x v="4"/>
    <n v="7"/>
    <n v="1146.8499999999999"/>
    <n v="872.61"/>
    <n v="8027.9499999999989"/>
    <n v="6108.27"/>
    <n v="1919.6799999999985"/>
  </r>
  <r>
    <x v="168"/>
    <x v="9"/>
    <x v="0"/>
    <x v="1"/>
    <x v="0"/>
    <n v="5"/>
    <n v="71.66"/>
    <n v="41.24"/>
    <n v="358.29999999999995"/>
    <n v="206.20000000000002"/>
    <n v="152.09999999999994"/>
  </r>
  <r>
    <x v="169"/>
    <x v="7"/>
    <x v="3"/>
    <x v="6"/>
    <x v="0"/>
    <n v="4"/>
    <n v="76.849999999999994"/>
    <n v="51.82"/>
    <n v="307.39999999999998"/>
    <n v="207.28"/>
    <n v="100.11999999999998"/>
  </r>
  <r>
    <x v="170"/>
    <x v="2"/>
    <x v="2"/>
    <x v="7"/>
    <x v="2"/>
    <n v="2"/>
    <n v="73.540000000000006"/>
    <n v="48.84"/>
    <n v="147.08000000000001"/>
    <n v="97.68"/>
    <n v="49.400000000000006"/>
  </r>
  <r>
    <x v="170"/>
    <x v="7"/>
    <x v="3"/>
    <x v="7"/>
    <x v="3"/>
    <n v="6"/>
    <n v="100.56"/>
    <n v="51.5"/>
    <n v="603.36"/>
    <n v="309"/>
    <n v="294.36"/>
  </r>
  <r>
    <x v="171"/>
    <x v="3"/>
    <x v="0"/>
    <x v="5"/>
    <x v="4"/>
    <n v="2"/>
    <n v="54.36"/>
    <n v="33.659999999999997"/>
    <n v="108.72"/>
    <n v="67.319999999999993"/>
    <n v="41.400000000000006"/>
  </r>
  <r>
    <x v="172"/>
    <x v="5"/>
    <x v="2"/>
    <x v="1"/>
    <x v="3"/>
    <n v="6"/>
    <n v="636.70000000000005"/>
    <n v="452.62"/>
    <n v="3820.2000000000003"/>
    <n v="2715.7200000000003"/>
    <n v="1104.48"/>
  </r>
  <r>
    <x v="172"/>
    <x v="7"/>
    <x v="3"/>
    <x v="0"/>
    <x v="1"/>
    <n v="4"/>
    <n v="78.14"/>
    <n v="50.24"/>
    <n v="312.56"/>
    <n v="200.96"/>
    <n v="111.6"/>
  </r>
  <r>
    <x v="173"/>
    <x v="6"/>
    <x v="1"/>
    <x v="7"/>
    <x v="3"/>
    <n v="2"/>
    <n v="392.22"/>
    <n v="339.11"/>
    <n v="784.44"/>
    <n v="678.22"/>
    <n v="106.22000000000003"/>
  </r>
  <r>
    <x v="174"/>
    <x v="8"/>
    <x v="3"/>
    <x v="2"/>
    <x v="4"/>
    <n v="9"/>
    <n v="1311.45"/>
    <n v="895.54"/>
    <n v="11803.050000000001"/>
    <n v="8059.86"/>
    <n v="3743.1900000000014"/>
  </r>
  <r>
    <x v="175"/>
    <x v="2"/>
    <x v="2"/>
    <x v="7"/>
    <x v="1"/>
    <n v="9"/>
    <n v="66.27"/>
    <n v="46.47"/>
    <n v="596.42999999999995"/>
    <n v="418.23"/>
    <n v="178.19999999999993"/>
  </r>
  <r>
    <x v="176"/>
    <x v="5"/>
    <x v="2"/>
    <x v="6"/>
    <x v="0"/>
    <n v="5"/>
    <n v="632.37"/>
    <n v="527.08000000000004"/>
    <n v="3161.85"/>
    <n v="2635.4"/>
    <n v="526.44999999999982"/>
  </r>
  <r>
    <x v="176"/>
    <x v="4"/>
    <x v="3"/>
    <x v="4"/>
    <x v="0"/>
    <n v="9"/>
    <n v="41.58"/>
    <n v="22.53"/>
    <n v="374.21999999999997"/>
    <n v="202.77"/>
    <n v="171.44999999999996"/>
  </r>
  <r>
    <x v="177"/>
    <x v="3"/>
    <x v="0"/>
    <x v="1"/>
    <x v="0"/>
    <n v="4"/>
    <n v="52.59"/>
    <n v="33.15"/>
    <n v="210.36"/>
    <n v="132.6"/>
    <n v="77.760000000000019"/>
  </r>
  <r>
    <x v="177"/>
    <x v="4"/>
    <x v="3"/>
    <x v="3"/>
    <x v="1"/>
    <n v="8"/>
    <n v="45.23"/>
    <n v="26.76"/>
    <n v="361.84"/>
    <n v="214.08"/>
    <n v="147.75999999999996"/>
  </r>
  <r>
    <x v="178"/>
    <x v="2"/>
    <x v="2"/>
    <x v="1"/>
    <x v="2"/>
    <n v="4"/>
    <n v="66.16"/>
    <n v="40.67"/>
    <n v="264.64"/>
    <n v="162.68"/>
    <n v="101.95999999999998"/>
  </r>
  <r>
    <x v="178"/>
    <x v="4"/>
    <x v="3"/>
    <x v="4"/>
    <x v="4"/>
    <n v="1"/>
    <n v="45.54"/>
    <n v="26.31"/>
    <n v="45.54"/>
    <n v="26.31"/>
    <n v="19.23"/>
  </r>
  <r>
    <x v="178"/>
    <x v="3"/>
    <x v="0"/>
    <x v="4"/>
    <x v="2"/>
    <n v="7"/>
    <n v="62.53"/>
    <n v="31.88"/>
    <n v="437.71000000000004"/>
    <n v="223.16"/>
    <n v="214.55000000000004"/>
  </r>
  <r>
    <x v="179"/>
    <x v="0"/>
    <x v="0"/>
    <x v="7"/>
    <x v="1"/>
    <n v="7"/>
    <n v="251.91"/>
    <n v="180.37"/>
    <n v="1763.37"/>
    <n v="1262.5900000000001"/>
    <n v="500.77999999999975"/>
  </r>
  <r>
    <x v="180"/>
    <x v="2"/>
    <x v="2"/>
    <x v="4"/>
    <x v="3"/>
    <n v="8"/>
    <n v="79.209999999999994"/>
    <n v="47.34"/>
    <n v="633.67999999999995"/>
    <n v="378.72"/>
    <n v="254.95999999999992"/>
  </r>
  <r>
    <x v="181"/>
    <x v="0"/>
    <x v="0"/>
    <x v="3"/>
    <x v="4"/>
    <n v="1"/>
    <n v="291.37"/>
    <n v="200.26"/>
    <n v="291.37"/>
    <n v="200.26"/>
    <n v="91.110000000000014"/>
  </r>
  <r>
    <x v="181"/>
    <x v="5"/>
    <x v="2"/>
    <x v="4"/>
    <x v="0"/>
    <n v="4"/>
    <n v="603.99"/>
    <n v="511.67"/>
    <n v="2415.96"/>
    <n v="2046.68"/>
    <n v="369.28"/>
  </r>
  <r>
    <x v="182"/>
    <x v="9"/>
    <x v="0"/>
    <x v="1"/>
    <x v="1"/>
    <n v="10"/>
    <n v="73.430000000000007"/>
    <n v="42.03"/>
    <n v="734.30000000000007"/>
    <n v="420.3"/>
    <n v="314.00000000000006"/>
  </r>
  <r>
    <x v="182"/>
    <x v="7"/>
    <x v="3"/>
    <x v="0"/>
    <x v="0"/>
    <n v="8"/>
    <n v="102.22"/>
    <n v="53.82"/>
    <n v="817.76"/>
    <n v="430.56"/>
    <n v="387.2"/>
  </r>
  <r>
    <x v="182"/>
    <x v="8"/>
    <x v="3"/>
    <x v="1"/>
    <x v="2"/>
    <n v="2"/>
    <n v="1145.81"/>
    <n v="794.16"/>
    <n v="2291.62"/>
    <n v="1588.32"/>
    <n v="703.3"/>
  </r>
  <r>
    <x v="183"/>
    <x v="8"/>
    <x v="3"/>
    <x v="3"/>
    <x v="4"/>
    <n v="8"/>
    <n v="1207.3699999999999"/>
    <n v="867.12"/>
    <n v="9658.9599999999991"/>
    <n v="6936.96"/>
    <n v="2721.9999999999991"/>
  </r>
  <r>
    <x v="183"/>
    <x v="7"/>
    <x v="3"/>
    <x v="1"/>
    <x v="0"/>
    <n v="10"/>
    <n v="82.72"/>
    <n v="56.68"/>
    <n v="827.2"/>
    <n v="566.79999999999995"/>
    <n v="260.40000000000009"/>
  </r>
  <r>
    <x v="184"/>
    <x v="2"/>
    <x v="2"/>
    <x v="7"/>
    <x v="1"/>
    <n v="6"/>
    <n v="65.569999999999993"/>
    <n v="44.62"/>
    <n v="393.41999999999996"/>
    <n v="267.71999999999997"/>
    <n v="125.69999999999999"/>
  </r>
  <r>
    <x v="184"/>
    <x v="0"/>
    <x v="0"/>
    <x v="2"/>
    <x v="4"/>
    <n v="2"/>
    <n v="303.44"/>
    <n v="177.89"/>
    <n v="606.88"/>
    <n v="355.78"/>
    <n v="251.10000000000002"/>
  </r>
  <r>
    <x v="184"/>
    <x v="4"/>
    <x v="3"/>
    <x v="4"/>
    <x v="0"/>
    <n v="5"/>
    <n v="40.42"/>
    <n v="26.39"/>
    <n v="202.10000000000002"/>
    <n v="131.94999999999999"/>
    <n v="70.150000000000034"/>
  </r>
  <r>
    <x v="185"/>
    <x v="2"/>
    <x v="2"/>
    <x v="1"/>
    <x v="2"/>
    <n v="8"/>
    <n v="65.19"/>
    <n v="43.57"/>
    <n v="521.52"/>
    <n v="348.56"/>
    <n v="172.95999999999998"/>
  </r>
  <r>
    <x v="186"/>
    <x v="9"/>
    <x v="0"/>
    <x v="1"/>
    <x v="0"/>
    <n v="2"/>
    <n v="62.02"/>
    <n v="37.82"/>
    <n v="124.04"/>
    <n v="75.64"/>
    <n v="48.400000000000006"/>
  </r>
  <r>
    <x v="186"/>
    <x v="9"/>
    <x v="0"/>
    <x v="0"/>
    <x v="4"/>
    <n v="1"/>
    <n v="58.58"/>
    <n v="44.75"/>
    <n v="58.58"/>
    <n v="44.75"/>
    <n v="13.829999999999998"/>
  </r>
  <r>
    <x v="187"/>
    <x v="6"/>
    <x v="1"/>
    <x v="4"/>
    <x v="2"/>
    <n v="6"/>
    <n v="409.98"/>
    <n v="291.87"/>
    <n v="2459.88"/>
    <n v="1751.22"/>
    <n v="708.66000000000008"/>
  </r>
  <r>
    <x v="187"/>
    <x v="3"/>
    <x v="0"/>
    <x v="0"/>
    <x v="1"/>
    <n v="5"/>
    <n v="58.53"/>
    <n v="33.92"/>
    <n v="292.64999999999998"/>
    <n v="169.60000000000002"/>
    <n v="123.04999999999995"/>
  </r>
  <r>
    <x v="188"/>
    <x v="1"/>
    <x v="1"/>
    <x v="5"/>
    <x v="2"/>
    <n v="9"/>
    <n v="353.14"/>
    <n v="218.88"/>
    <n v="3178.2599999999998"/>
    <n v="1969.92"/>
    <n v="1208.3399999999997"/>
  </r>
  <r>
    <x v="188"/>
    <x v="3"/>
    <x v="0"/>
    <x v="5"/>
    <x v="2"/>
    <n v="8"/>
    <n v="57.58"/>
    <n v="31.79"/>
    <n v="460.64"/>
    <n v="254.32"/>
    <n v="206.32"/>
  </r>
  <r>
    <x v="189"/>
    <x v="1"/>
    <x v="1"/>
    <x v="7"/>
    <x v="0"/>
    <n v="6"/>
    <n v="280.39"/>
    <n v="202.54"/>
    <n v="1682.34"/>
    <n v="1215.24"/>
    <n v="467.09999999999991"/>
  </r>
  <r>
    <x v="190"/>
    <x v="2"/>
    <x v="2"/>
    <x v="4"/>
    <x v="3"/>
    <n v="7"/>
    <n v="84.05"/>
    <n v="45.88"/>
    <n v="588.35"/>
    <n v="321.16000000000003"/>
    <n v="267.19"/>
  </r>
  <r>
    <x v="191"/>
    <x v="9"/>
    <x v="0"/>
    <x v="4"/>
    <x v="1"/>
    <n v="5"/>
    <n v="58.95"/>
    <n v="42.88"/>
    <n v="294.75"/>
    <n v="214.4"/>
    <n v="80.349999999999994"/>
  </r>
  <r>
    <x v="192"/>
    <x v="5"/>
    <x v="2"/>
    <x v="2"/>
    <x v="4"/>
    <n v="5"/>
    <n v="750.84"/>
    <n v="511.32"/>
    <n v="3754.2000000000003"/>
    <n v="2556.6"/>
    <n v="1197.6000000000004"/>
  </r>
  <r>
    <x v="193"/>
    <x v="4"/>
    <x v="3"/>
    <x v="6"/>
    <x v="0"/>
    <n v="10"/>
    <n v="40.01"/>
    <n v="22.64"/>
    <n v="400.09999999999997"/>
    <n v="226.4"/>
    <n v="173.69999999999996"/>
  </r>
  <r>
    <x v="193"/>
    <x v="8"/>
    <x v="3"/>
    <x v="2"/>
    <x v="4"/>
    <n v="3"/>
    <n v="1188.95"/>
    <n v="821.76"/>
    <n v="3566.8500000000004"/>
    <n v="2465.2799999999997"/>
    <n v="1101.5700000000006"/>
  </r>
  <r>
    <x v="193"/>
    <x v="1"/>
    <x v="1"/>
    <x v="5"/>
    <x v="3"/>
    <n v="7"/>
    <n v="310.66000000000003"/>
    <n v="193.06"/>
    <n v="2174.6200000000003"/>
    <n v="1351.42"/>
    <n v="823.20000000000027"/>
  </r>
  <r>
    <x v="193"/>
    <x v="0"/>
    <x v="0"/>
    <x v="2"/>
    <x v="0"/>
    <n v="10"/>
    <n v="270.45999999999998"/>
    <n v="179.66"/>
    <n v="2704.6"/>
    <n v="1796.6"/>
    <n v="908"/>
  </r>
  <r>
    <x v="193"/>
    <x v="2"/>
    <x v="2"/>
    <x v="0"/>
    <x v="0"/>
    <n v="2"/>
    <n v="65.430000000000007"/>
    <n v="44.88"/>
    <n v="130.86000000000001"/>
    <n v="89.76"/>
    <n v="41.100000000000009"/>
  </r>
  <r>
    <x v="193"/>
    <x v="1"/>
    <x v="1"/>
    <x v="0"/>
    <x v="3"/>
    <n v="4"/>
    <n v="313.83"/>
    <n v="204.59"/>
    <n v="1255.32"/>
    <n v="818.36"/>
    <n v="436.95999999999992"/>
  </r>
  <r>
    <x v="194"/>
    <x v="7"/>
    <x v="3"/>
    <x v="5"/>
    <x v="4"/>
    <n v="1"/>
    <n v="93.71"/>
    <n v="48.11"/>
    <n v="93.71"/>
    <n v="48.11"/>
    <n v="45.599999999999994"/>
  </r>
  <r>
    <x v="195"/>
    <x v="8"/>
    <x v="3"/>
    <x v="5"/>
    <x v="2"/>
    <n v="10"/>
    <n v="1107.22"/>
    <n v="815.55"/>
    <n v="11072.2"/>
    <n v="8155.5"/>
    <n v="2916.7000000000007"/>
  </r>
  <r>
    <x v="195"/>
    <x v="5"/>
    <x v="2"/>
    <x v="2"/>
    <x v="1"/>
    <n v="4"/>
    <n v="775.14"/>
    <n v="515.33000000000004"/>
    <n v="3100.56"/>
    <n v="2061.3200000000002"/>
    <n v="1039.2399999999998"/>
  </r>
  <r>
    <x v="195"/>
    <x v="1"/>
    <x v="1"/>
    <x v="0"/>
    <x v="2"/>
    <n v="2"/>
    <n v="286.14"/>
    <n v="227.86"/>
    <n v="572.28"/>
    <n v="455.72"/>
    <n v="116.55999999999995"/>
  </r>
  <r>
    <x v="195"/>
    <x v="9"/>
    <x v="0"/>
    <x v="7"/>
    <x v="0"/>
    <n v="1"/>
    <n v="55.31"/>
    <n v="39.090000000000003"/>
    <n v="55.31"/>
    <n v="39.090000000000003"/>
    <n v="16.22"/>
  </r>
  <r>
    <x v="196"/>
    <x v="6"/>
    <x v="1"/>
    <x v="4"/>
    <x v="2"/>
    <n v="10"/>
    <n v="503.51"/>
    <n v="288.74"/>
    <n v="5035.1000000000004"/>
    <n v="2887.4"/>
    <n v="2147.7000000000003"/>
  </r>
  <r>
    <x v="197"/>
    <x v="3"/>
    <x v="0"/>
    <x v="3"/>
    <x v="1"/>
    <n v="2"/>
    <n v="58.49"/>
    <n v="37.33"/>
    <n v="116.98"/>
    <n v="74.66"/>
    <n v="42.320000000000007"/>
  </r>
  <r>
    <x v="198"/>
    <x v="7"/>
    <x v="3"/>
    <x v="7"/>
    <x v="1"/>
    <n v="1"/>
    <n v="75.87"/>
    <n v="46.98"/>
    <n v="75.87"/>
    <n v="46.98"/>
    <n v="28.890000000000008"/>
  </r>
  <r>
    <x v="198"/>
    <x v="1"/>
    <x v="1"/>
    <x v="5"/>
    <x v="2"/>
    <n v="3"/>
    <n v="298.16000000000003"/>
    <n v="194.27"/>
    <n v="894.48"/>
    <n v="582.81000000000006"/>
    <n v="311.66999999999996"/>
  </r>
  <r>
    <x v="199"/>
    <x v="4"/>
    <x v="3"/>
    <x v="3"/>
    <x v="2"/>
    <n v="6"/>
    <n v="39.46"/>
    <n v="26.29"/>
    <n v="236.76"/>
    <n v="157.74"/>
    <n v="79.019999999999982"/>
  </r>
  <r>
    <x v="199"/>
    <x v="6"/>
    <x v="1"/>
    <x v="2"/>
    <x v="1"/>
    <n v="7"/>
    <n v="429.46"/>
    <n v="285.47000000000003"/>
    <n v="3006.22"/>
    <n v="1998.2900000000002"/>
    <n v="1007.9299999999996"/>
  </r>
  <r>
    <x v="199"/>
    <x v="7"/>
    <x v="3"/>
    <x v="1"/>
    <x v="3"/>
    <n v="1"/>
    <n v="94.04"/>
    <n v="47.94"/>
    <n v="94.04"/>
    <n v="47.94"/>
    <n v="46.100000000000009"/>
  </r>
  <r>
    <x v="200"/>
    <x v="5"/>
    <x v="2"/>
    <x v="6"/>
    <x v="4"/>
    <n v="1"/>
    <n v="657.11"/>
    <n v="447.71"/>
    <n v="657.11"/>
    <n v="447.71"/>
    <n v="209.40000000000003"/>
  </r>
  <r>
    <x v="200"/>
    <x v="6"/>
    <x v="1"/>
    <x v="7"/>
    <x v="1"/>
    <n v="5"/>
    <n v="447.56"/>
    <n v="288.58999999999997"/>
    <n v="2237.8000000000002"/>
    <n v="1442.9499999999998"/>
    <n v="794.85000000000036"/>
  </r>
  <r>
    <x v="200"/>
    <x v="6"/>
    <x v="1"/>
    <x v="6"/>
    <x v="1"/>
    <n v="7"/>
    <n v="440.04"/>
    <n v="320.08"/>
    <n v="3080.28"/>
    <n v="2240.56"/>
    <n v="839.72000000000025"/>
  </r>
  <r>
    <x v="201"/>
    <x v="9"/>
    <x v="0"/>
    <x v="3"/>
    <x v="3"/>
    <n v="4"/>
    <n v="66.760000000000005"/>
    <n v="43.38"/>
    <n v="267.04000000000002"/>
    <n v="173.52"/>
    <n v="93.52000000000001"/>
  </r>
  <r>
    <x v="202"/>
    <x v="2"/>
    <x v="2"/>
    <x v="5"/>
    <x v="4"/>
    <n v="10"/>
    <n v="85.71"/>
    <n v="45.51"/>
    <n v="857.09999999999991"/>
    <n v="455.09999999999997"/>
    <n v="401.99999999999994"/>
  </r>
  <r>
    <x v="203"/>
    <x v="7"/>
    <x v="3"/>
    <x v="3"/>
    <x v="4"/>
    <n v="3"/>
    <n v="91.99"/>
    <n v="56.59"/>
    <n v="275.96999999999997"/>
    <n v="169.77"/>
    <n v="106.19999999999996"/>
  </r>
  <r>
    <x v="203"/>
    <x v="7"/>
    <x v="3"/>
    <x v="3"/>
    <x v="4"/>
    <n v="9"/>
    <n v="84.69"/>
    <n v="48.97"/>
    <n v="762.21"/>
    <n v="440.73"/>
    <n v="321.48"/>
  </r>
  <r>
    <x v="203"/>
    <x v="7"/>
    <x v="3"/>
    <x v="0"/>
    <x v="4"/>
    <n v="4"/>
    <n v="92.95"/>
    <n v="48.92"/>
    <n v="371.8"/>
    <n v="195.68"/>
    <n v="176.12"/>
  </r>
  <r>
    <x v="204"/>
    <x v="2"/>
    <x v="2"/>
    <x v="4"/>
    <x v="4"/>
    <n v="7"/>
    <n v="65.22"/>
    <n v="43.31"/>
    <n v="456.53999999999996"/>
    <n v="303.17"/>
    <n v="153.36999999999995"/>
  </r>
  <r>
    <x v="205"/>
    <x v="5"/>
    <x v="2"/>
    <x v="1"/>
    <x v="4"/>
    <n v="5"/>
    <n v="694.89"/>
    <n v="436.8"/>
    <n v="3474.45"/>
    <n v="2184"/>
    <n v="1290.4499999999998"/>
  </r>
  <r>
    <x v="206"/>
    <x v="8"/>
    <x v="3"/>
    <x v="4"/>
    <x v="1"/>
    <n v="4"/>
    <n v="1182.45"/>
    <n v="815.66"/>
    <n v="4729.8"/>
    <n v="3262.64"/>
    <n v="1467.1600000000003"/>
  </r>
  <r>
    <x v="207"/>
    <x v="6"/>
    <x v="1"/>
    <x v="4"/>
    <x v="0"/>
    <n v="4"/>
    <n v="515.04999999999995"/>
    <n v="318.89"/>
    <n v="2060.1999999999998"/>
    <n v="1275.56"/>
    <n v="784.63999999999987"/>
  </r>
  <r>
    <x v="208"/>
    <x v="3"/>
    <x v="0"/>
    <x v="5"/>
    <x v="1"/>
    <n v="10"/>
    <n v="52.76"/>
    <n v="35.17"/>
    <n v="527.6"/>
    <n v="351.70000000000005"/>
    <n v="175.89999999999998"/>
  </r>
  <r>
    <x v="208"/>
    <x v="1"/>
    <x v="1"/>
    <x v="5"/>
    <x v="0"/>
    <n v="5"/>
    <n v="294.66000000000003"/>
    <n v="225.89"/>
    <n v="1473.3000000000002"/>
    <n v="1129.4499999999998"/>
    <n v="343.85000000000036"/>
  </r>
  <r>
    <x v="208"/>
    <x v="1"/>
    <x v="1"/>
    <x v="4"/>
    <x v="1"/>
    <n v="10"/>
    <n v="315.74"/>
    <n v="198.59"/>
    <n v="3157.4"/>
    <n v="1985.9"/>
    <n v="1171.5"/>
  </r>
  <r>
    <x v="209"/>
    <x v="2"/>
    <x v="2"/>
    <x v="7"/>
    <x v="3"/>
    <n v="6"/>
    <n v="75.5"/>
    <n v="41.96"/>
    <n v="453"/>
    <n v="251.76"/>
    <n v="201.24"/>
  </r>
  <r>
    <x v="210"/>
    <x v="5"/>
    <x v="2"/>
    <x v="5"/>
    <x v="4"/>
    <n v="10"/>
    <n v="720.45"/>
    <n v="453.55"/>
    <n v="7204.5"/>
    <n v="4535.5"/>
    <n v="2669"/>
  </r>
  <r>
    <x v="211"/>
    <x v="2"/>
    <x v="2"/>
    <x v="3"/>
    <x v="3"/>
    <n v="2"/>
    <n v="65.040000000000006"/>
    <n v="42.71"/>
    <n v="130.08000000000001"/>
    <n v="85.42"/>
    <n v="44.660000000000011"/>
  </r>
  <r>
    <x v="211"/>
    <x v="8"/>
    <x v="3"/>
    <x v="3"/>
    <x v="4"/>
    <n v="8"/>
    <n v="1181.04"/>
    <n v="833.99"/>
    <n v="9448.32"/>
    <n v="6671.92"/>
    <n v="2776.3999999999996"/>
  </r>
  <r>
    <x v="211"/>
    <x v="0"/>
    <x v="0"/>
    <x v="7"/>
    <x v="4"/>
    <n v="5"/>
    <n v="317.77"/>
    <n v="185.37"/>
    <n v="1588.85"/>
    <n v="926.85"/>
    <n v="661.99999999999989"/>
  </r>
  <r>
    <x v="212"/>
    <x v="1"/>
    <x v="1"/>
    <x v="3"/>
    <x v="3"/>
    <n v="5"/>
    <n v="305.73"/>
    <n v="207.93"/>
    <n v="1528.65"/>
    <n v="1039.6500000000001"/>
    <n v="489"/>
  </r>
  <r>
    <x v="213"/>
    <x v="2"/>
    <x v="2"/>
    <x v="4"/>
    <x v="0"/>
    <n v="9"/>
    <n v="65.819999999999993"/>
    <n v="42.98"/>
    <n v="592.37999999999988"/>
    <n v="386.82"/>
    <n v="205.55999999999989"/>
  </r>
  <r>
    <x v="214"/>
    <x v="4"/>
    <x v="3"/>
    <x v="1"/>
    <x v="4"/>
    <n v="2"/>
    <n v="46.62"/>
    <n v="23"/>
    <n v="93.24"/>
    <n v="46"/>
    <n v="47.239999999999995"/>
  </r>
  <r>
    <x v="214"/>
    <x v="6"/>
    <x v="1"/>
    <x v="1"/>
    <x v="4"/>
    <n v="7"/>
    <n v="496.59"/>
    <n v="307.99"/>
    <n v="3476.1299999999997"/>
    <n v="2155.9300000000003"/>
    <n v="1320.1999999999994"/>
  </r>
  <r>
    <x v="214"/>
    <x v="0"/>
    <x v="0"/>
    <x v="5"/>
    <x v="3"/>
    <n v="9"/>
    <n v="271.64999999999998"/>
    <n v="200.97"/>
    <n v="2444.85"/>
    <n v="1808.73"/>
    <n v="636.11999999999989"/>
  </r>
  <r>
    <x v="215"/>
    <x v="5"/>
    <x v="2"/>
    <x v="7"/>
    <x v="2"/>
    <n v="5"/>
    <n v="635.9"/>
    <n v="520.91999999999996"/>
    <n v="3179.5"/>
    <n v="2604.6"/>
    <n v="574.90000000000009"/>
  </r>
  <r>
    <x v="215"/>
    <x v="9"/>
    <x v="0"/>
    <x v="2"/>
    <x v="0"/>
    <n v="1"/>
    <n v="62.88"/>
    <n v="40.71"/>
    <n v="62.88"/>
    <n v="40.71"/>
    <n v="22.17"/>
  </r>
  <r>
    <x v="216"/>
    <x v="3"/>
    <x v="0"/>
    <x v="2"/>
    <x v="2"/>
    <n v="8"/>
    <n v="50.15"/>
    <n v="35.71"/>
    <n v="401.2"/>
    <n v="285.68"/>
    <n v="115.51999999999998"/>
  </r>
  <r>
    <x v="216"/>
    <x v="3"/>
    <x v="0"/>
    <x v="4"/>
    <x v="0"/>
    <n v="9"/>
    <n v="57.8"/>
    <n v="37.97"/>
    <n v="520.19999999999993"/>
    <n v="341.73"/>
    <n v="178.46999999999991"/>
  </r>
  <r>
    <x v="217"/>
    <x v="4"/>
    <x v="3"/>
    <x v="6"/>
    <x v="0"/>
    <n v="2"/>
    <n v="51.28"/>
    <n v="23.43"/>
    <n v="102.56"/>
    <n v="46.86"/>
    <n v="55.7"/>
  </r>
  <r>
    <x v="218"/>
    <x v="7"/>
    <x v="3"/>
    <x v="2"/>
    <x v="1"/>
    <n v="8"/>
    <n v="97.61"/>
    <n v="53.9"/>
    <n v="780.88"/>
    <n v="431.2"/>
    <n v="349.68"/>
  </r>
  <r>
    <x v="218"/>
    <x v="9"/>
    <x v="0"/>
    <x v="0"/>
    <x v="0"/>
    <n v="7"/>
    <n v="67.349999999999994"/>
    <n v="38.380000000000003"/>
    <n v="471.44999999999993"/>
    <n v="268.66000000000003"/>
    <n v="202.78999999999991"/>
  </r>
  <r>
    <x v="218"/>
    <x v="9"/>
    <x v="0"/>
    <x v="0"/>
    <x v="4"/>
    <n v="9"/>
    <n v="65.06"/>
    <n v="44.28"/>
    <n v="585.54"/>
    <n v="398.52"/>
    <n v="187.01999999999998"/>
  </r>
  <r>
    <x v="218"/>
    <x v="8"/>
    <x v="3"/>
    <x v="5"/>
    <x v="0"/>
    <n v="10"/>
    <n v="1265.04"/>
    <n v="851.01"/>
    <n v="12650.4"/>
    <n v="8510.1"/>
    <n v="4140.2999999999993"/>
  </r>
  <r>
    <x v="219"/>
    <x v="1"/>
    <x v="1"/>
    <x v="3"/>
    <x v="2"/>
    <n v="10"/>
    <n v="334.3"/>
    <n v="228.8"/>
    <n v="3343"/>
    <n v="2288"/>
    <n v="1055"/>
  </r>
  <r>
    <x v="219"/>
    <x v="8"/>
    <x v="3"/>
    <x v="0"/>
    <x v="1"/>
    <n v="1"/>
    <n v="1327.63"/>
    <n v="921.85"/>
    <n v="1327.63"/>
    <n v="921.85"/>
    <n v="405.78000000000009"/>
  </r>
  <r>
    <x v="219"/>
    <x v="6"/>
    <x v="1"/>
    <x v="6"/>
    <x v="1"/>
    <n v="1"/>
    <n v="418.64"/>
    <n v="337.15"/>
    <n v="418.64"/>
    <n v="337.15"/>
    <n v="81.490000000000009"/>
  </r>
  <r>
    <x v="220"/>
    <x v="3"/>
    <x v="0"/>
    <x v="1"/>
    <x v="0"/>
    <n v="5"/>
    <n v="55.28"/>
    <n v="33.479999999999997"/>
    <n v="276.39999999999998"/>
    <n v="167.39999999999998"/>
    <n v="109"/>
  </r>
  <r>
    <x v="220"/>
    <x v="1"/>
    <x v="1"/>
    <x v="7"/>
    <x v="0"/>
    <n v="10"/>
    <n v="344.51"/>
    <n v="218.21"/>
    <n v="3445.1"/>
    <n v="2182.1"/>
    <n v="1263"/>
  </r>
  <r>
    <x v="221"/>
    <x v="9"/>
    <x v="0"/>
    <x v="3"/>
    <x v="0"/>
    <n v="10"/>
    <n v="61.81"/>
    <n v="43.36"/>
    <n v="618.1"/>
    <n v="433.6"/>
    <n v="184.5"/>
  </r>
  <r>
    <x v="222"/>
    <x v="2"/>
    <x v="2"/>
    <x v="5"/>
    <x v="4"/>
    <n v="5"/>
    <n v="73.69"/>
    <n v="47.55"/>
    <n v="368.45"/>
    <n v="237.75"/>
    <n v="130.69999999999999"/>
  </r>
  <r>
    <x v="222"/>
    <x v="0"/>
    <x v="0"/>
    <x v="0"/>
    <x v="0"/>
    <n v="1"/>
    <n v="257.31"/>
    <n v="203.54"/>
    <n v="257.31"/>
    <n v="203.54"/>
    <n v="53.77000000000001"/>
  </r>
  <r>
    <x v="223"/>
    <x v="1"/>
    <x v="1"/>
    <x v="1"/>
    <x v="0"/>
    <n v="10"/>
    <n v="361.17"/>
    <n v="208.44"/>
    <n v="3611.7000000000003"/>
    <n v="2084.4"/>
    <n v="1527.3000000000002"/>
  </r>
  <r>
    <x v="223"/>
    <x v="4"/>
    <x v="3"/>
    <x v="6"/>
    <x v="0"/>
    <n v="5"/>
    <n v="38.39"/>
    <n v="26.53"/>
    <n v="191.95"/>
    <n v="132.65"/>
    <n v="59.299999999999983"/>
  </r>
  <r>
    <x v="224"/>
    <x v="6"/>
    <x v="1"/>
    <x v="0"/>
    <x v="3"/>
    <n v="10"/>
    <n v="484.39"/>
    <n v="330.9"/>
    <n v="4843.8999999999996"/>
    <n v="3309"/>
    <n v="1534.8999999999996"/>
  </r>
  <r>
    <x v="225"/>
    <x v="2"/>
    <x v="2"/>
    <x v="3"/>
    <x v="0"/>
    <n v="5"/>
    <n v="81.760000000000005"/>
    <n v="47.82"/>
    <n v="408.8"/>
    <n v="239.1"/>
    <n v="169.70000000000002"/>
  </r>
  <r>
    <x v="226"/>
    <x v="6"/>
    <x v="1"/>
    <x v="6"/>
    <x v="0"/>
    <n v="4"/>
    <n v="395.38"/>
    <n v="315.57"/>
    <n v="1581.52"/>
    <n v="1262.28"/>
    <n v="319.24"/>
  </r>
  <r>
    <x v="226"/>
    <x v="4"/>
    <x v="3"/>
    <x v="2"/>
    <x v="2"/>
    <n v="4"/>
    <n v="48.9"/>
    <n v="25.88"/>
    <n v="195.6"/>
    <n v="103.52"/>
    <n v="92.08"/>
  </r>
  <r>
    <x v="227"/>
    <x v="9"/>
    <x v="0"/>
    <x v="2"/>
    <x v="0"/>
    <n v="2"/>
    <n v="74.38"/>
    <n v="39.24"/>
    <n v="148.76"/>
    <n v="78.48"/>
    <n v="70.279999999999987"/>
  </r>
  <r>
    <x v="228"/>
    <x v="6"/>
    <x v="1"/>
    <x v="5"/>
    <x v="0"/>
    <n v="5"/>
    <n v="509.2"/>
    <n v="313.73"/>
    <n v="2546"/>
    <n v="1568.65"/>
    <n v="977.34999999999991"/>
  </r>
  <r>
    <x v="229"/>
    <x v="8"/>
    <x v="3"/>
    <x v="1"/>
    <x v="3"/>
    <n v="6"/>
    <n v="1234.72"/>
    <n v="821.04"/>
    <n v="7408.32"/>
    <n v="4926.24"/>
    <n v="2482.08"/>
  </r>
  <r>
    <x v="229"/>
    <x v="1"/>
    <x v="1"/>
    <x v="6"/>
    <x v="1"/>
    <n v="8"/>
    <n v="341.5"/>
    <n v="221.99"/>
    <n v="2732"/>
    <n v="1775.92"/>
    <n v="956.07999999999993"/>
  </r>
  <r>
    <x v="230"/>
    <x v="3"/>
    <x v="0"/>
    <x v="1"/>
    <x v="4"/>
    <n v="1"/>
    <n v="60.18"/>
    <n v="34.79"/>
    <n v="60.18"/>
    <n v="34.79"/>
    <n v="25.39"/>
  </r>
  <r>
    <x v="231"/>
    <x v="1"/>
    <x v="1"/>
    <x v="6"/>
    <x v="3"/>
    <n v="2"/>
    <n v="321.47000000000003"/>
    <n v="202.66"/>
    <n v="642.94000000000005"/>
    <n v="405.32"/>
    <n v="237.62000000000006"/>
  </r>
  <r>
    <x v="231"/>
    <x v="7"/>
    <x v="3"/>
    <x v="4"/>
    <x v="4"/>
    <n v="9"/>
    <n v="76.02"/>
    <n v="50.31"/>
    <n v="684.18"/>
    <n v="452.79"/>
    <n v="231.38999999999993"/>
  </r>
  <r>
    <x v="232"/>
    <x v="4"/>
    <x v="3"/>
    <x v="7"/>
    <x v="0"/>
    <n v="10"/>
    <n v="46.41"/>
    <n v="23.87"/>
    <n v="464.09999999999997"/>
    <n v="238.70000000000002"/>
    <n v="225.39999999999995"/>
  </r>
  <r>
    <x v="233"/>
    <x v="8"/>
    <x v="3"/>
    <x v="6"/>
    <x v="3"/>
    <n v="5"/>
    <n v="1166.5"/>
    <n v="925.66"/>
    <n v="5832.5"/>
    <n v="4628.3"/>
    <n v="1204.1999999999998"/>
  </r>
  <r>
    <x v="233"/>
    <x v="6"/>
    <x v="1"/>
    <x v="0"/>
    <x v="4"/>
    <n v="5"/>
    <n v="510.08"/>
    <n v="295.93"/>
    <n v="2550.4"/>
    <n v="1479.65"/>
    <n v="1070.75"/>
  </r>
  <r>
    <x v="233"/>
    <x v="7"/>
    <x v="3"/>
    <x v="6"/>
    <x v="1"/>
    <n v="7"/>
    <n v="79.19"/>
    <n v="54.39"/>
    <n v="554.32999999999993"/>
    <n v="380.73"/>
    <n v="173.59999999999991"/>
  </r>
  <r>
    <x v="233"/>
    <x v="4"/>
    <x v="3"/>
    <x v="3"/>
    <x v="2"/>
    <n v="3"/>
    <n v="40.53"/>
    <n v="26.62"/>
    <n v="121.59"/>
    <n v="79.86"/>
    <n v="41.730000000000004"/>
  </r>
  <r>
    <x v="234"/>
    <x v="9"/>
    <x v="0"/>
    <x v="0"/>
    <x v="4"/>
    <n v="2"/>
    <n v="67.510000000000005"/>
    <n v="39.4"/>
    <n v="135.02000000000001"/>
    <n v="78.8"/>
    <n v="56.220000000000013"/>
  </r>
  <r>
    <x v="234"/>
    <x v="8"/>
    <x v="3"/>
    <x v="5"/>
    <x v="0"/>
    <n v="2"/>
    <n v="1209.25"/>
    <n v="884.42"/>
    <n v="2418.5"/>
    <n v="1768.84"/>
    <n v="649.66000000000008"/>
  </r>
  <r>
    <x v="235"/>
    <x v="2"/>
    <x v="2"/>
    <x v="4"/>
    <x v="2"/>
    <n v="3"/>
    <n v="75.58"/>
    <n v="47.67"/>
    <n v="226.74"/>
    <n v="143.01"/>
    <n v="83.730000000000018"/>
  </r>
  <r>
    <x v="235"/>
    <x v="8"/>
    <x v="3"/>
    <x v="2"/>
    <x v="4"/>
    <n v="5"/>
    <n v="1296.18"/>
    <n v="779.24"/>
    <n v="6480.9000000000005"/>
    <n v="3896.2"/>
    <n v="2584.7000000000007"/>
  </r>
  <r>
    <x v="236"/>
    <x v="2"/>
    <x v="2"/>
    <x v="1"/>
    <x v="4"/>
    <n v="4"/>
    <n v="70.28"/>
    <n v="48.71"/>
    <n v="281.12"/>
    <n v="194.84"/>
    <n v="86.28"/>
  </r>
  <r>
    <x v="237"/>
    <x v="2"/>
    <x v="2"/>
    <x v="4"/>
    <x v="2"/>
    <n v="4"/>
    <n v="79.28"/>
    <n v="41.21"/>
    <n v="317.12"/>
    <n v="164.84"/>
    <n v="152.28"/>
  </r>
  <r>
    <x v="237"/>
    <x v="9"/>
    <x v="0"/>
    <x v="0"/>
    <x v="0"/>
    <n v="5"/>
    <n v="69.040000000000006"/>
    <n v="45.63"/>
    <n v="345.20000000000005"/>
    <n v="228.15"/>
    <n v="117.05000000000004"/>
  </r>
  <r>
    <x v="238"/>
    <x v="0"/>
    <x v="0"/>
    <x v="0"/>
    <x v="4"/>
    <n v="9"/>
    <n v="286.16000000000003"/>
    <n v="200.22"/>
    <n v="2575.44"/>
    <n v="1801.98"/>
    <n v="773.46"/>
  </r>
  <r>
    <x v="239"/>
    <x v="7"/>
    <x v="3"/>
    <x v="5"/>
    <x v="2"/>
    <n v="9"/>
    <n v="80.37"/>
    <n v="47.93"/>
    <n v="723.33"/>
    <n v="431.37"/>
    <n v="291.96000000000004"/>
  </r>
  <r>
    <x v="239"/>
    <x v="1"/>
    <x v="1"/>
    <x v="7"/>
    <x v="0"/>
    <n v="9"/>
    <n v="311.77999999999997"/>
    <n v="192.76"/>
    <n v="2806.0199999999995"/>
    <n v="1734.84"/>
    <n v="1071.1799999999996"/>
  </r>
  <r>
    <x v="239"/>
    <x v="8"/>
    <x v="3"/>
    <x v="0"/>
    <x v="2"/>
    <n v="7"/>
    <n v="1294.8599999999999"/>
    <n v="800"/>
    <n v="9064.0199999999986"/>
    <n v="5600"/>
    <n v="3464.0199999999986"/>
  </r>
  <r>
    <x v="240"/>
    <x v="8"/>
    <x v="3"/>
    <x v="5"/>
    <x v="2"/>
    <n v="6"/>
    <n v="1187.67"/>
    <n v="878.73"/>
    <n v="7126.02"/>
    <n v="5272.38"/>
    <n v="1853.6400000000003"/>
  </r>
  <r>
    <x v="241"/>
    <x v="1"/>
    <x v="1"/>
    <x v="2"/>
    <x v="3"/>
    <n v="8"/>
    <n v="337.72"/>
    <n v="198.64"/>
    <n v="2701.76"/>
    <n v="1589.12"/>
    <n v="1112.6400000000003"/>
  </r>
  <r>
    <x v="242"/>
    <x v="0"/>
    <x v="0"/>
    <x v="5"/>
    <x v="0"/>
    <n v="9"/>
    <n v="257.66000000000003"/>
    <n v="197.14"/>
    <n v="2318.94"/>
    <n v="1774.2599999999998"/>
    <n v="544.68000000000029"/>
  </r>
  <r>
    <x v="243"/>
    <x v="8"/>
    <x v="3"/>
    <x v="6"/>
    <x v="0"/>
    <n v="8"/>
    <n v="1132.42"/>
    <n v="900.79"/>
    <n v="9059.36"/>
    <n v="7206.32"/>
    <n v="1853.0400000000009"/>
  </r>
  <r>
    <x v="243"/>
    <x v="9"/>
    <x v="0"/>
    <x v="7"/>
    <x v="1"/>
    <n v="9"/>
    <n v="64.12"/>
    <n v="45.86"/>
    <n v="577.08000000000004"/>
    <n v="412.74"/>
    <n v="164.34000000000003"/>
  </r>
  <r>
    <x v="244"/>
    <x v="0"/>
    <x v="0"/>
    <x v="7"/>
    <x v="0"/>
    <n v="4"/>
    <n v="282.23"/>
    <n v="181.27"/>
    <n v="1128.92"/>
    <n v="725.08"/>
    <n v="403.84000000000003"/>
  </r>
  <r>
    <x v="244"/>
    <x v="6"/>
    <x v="1"/>
    <x v="1"/>
    <x v="3"/>
    <n v="3"/>
    <n v="388.43"/>
    <n v="333.94"/>
    <n v="1165.29"/>
    <n v="1001.8199999999999"/>
    <n v="163.47000000000003"/>
  </r>
  <r>
    <x v="244"/>
    <x v="6"/>
    <x v="1"/>
    <x v="1"/>
    <x v="2"/>
    <n v="4"/>
    <n v="431.11"/>
    <n v="339.35"/>
    <n v="1724.44"/>
    <n v="1357.4"/>
    <n v="367.03999999999996"/>
  </r>
  <r>
    <x v="244"/>
    <x v="1"/>
    <x v="1"/>
    <x v="7"/>
    <x v="1"/>
    <n v="8"/>
    <n v="346.49"/>
    <n v="217.27"/>
    <n v="2771.92"/>
    <n v="1738.16"/>
    <n v="1033.76"/>
  </r>
  <r>
    <x v="244"/>
    <x v="7"/>
    <x v="3"/>
    <x v="3"/>
    <x v="0"/>
    <n v="2"/>
    <n v="85.7"/>
    <n v="50.34"/>
    <n v="171.4"/>
    <n v="100.68"/>
    <n v="70.72"/>
  </r>
  <r>
    <x v="245"/>
    <x v="2"/>
    <x v="2"/>
    <x v="4"/>
    <x v="0"/>
    <n v="9"/>
    <n v="72.17"/>
    <n v="45.39"/>
    <n v="649.53"/>
    <n v="408.51"/>
    <n v="241.01999999999998"/>
  </r>
  <r>
    <x v="245"/>
    <x v="5"/>
    <x v="2"/>
    <x v="7"/>
    <x v="2"/>
    <n v="4"/>
    <n v="772.69"/>
    <n v="521.61"/>
    <n v="3090.76"/>
    <n v="2086.44"/>
    <n v="1004.3200000000002"/>
  </r>
  <r>
    <x v="245"/>
    <x v="6"/>
    <x v="1"/>
    <x v="7"/>
    <x v="1"/>
    <n v="9"/>
    <n v="434.75"/>
    <n v="302.88"/>
    <n v="3912.75"/>
    <n v="2725.92"/>
    <n v="1186.83"/>
  </r>
  <r>
    <x v="245"/>
    <x v="8"/>
    <x v="3"/>
    <x v="5"/>
    <x v="1"/>
    <n v="5"/>
    <n v="1251.3"/>
    <n v="925.9"/>
    <n v="6256.5"/>
    <n v="4629.5"/>
    <n v="1627"/>
  </r>
  <r>
    <x v="246"/>
    <x v="1"/>
    <x v="1"/>
    <x v="4"/>
    <x v="2"/>
    <n v="8"/>
    <n v="281.31"/>
    <n v="192.5"/>
    <n v="2250.48"/>
    <n v="1540"/>
    <n v="710.48"/>
  </r>
  <r>
    <x v="247"/>
    <x v="1"/>
    <x v="1"/>
    <x v="3"/>
    <x v="4"/>
    <n v="6"/>
    <n v="350.72"/>
    <n v="219.43"/>
    <n v="2104.3200000000002"/>
    <n v="1316.58"/>
    <n v="787.74000000000024"/>
  </r>
  <r>
    <x v="247"/>
    <x v="9"/>
    <x v="0"/>
    <x v="7"/>
    <x v="3"/>
    <n v="8"/>
    <n v="65.05"/>
    <n v="44.69"/>
    <n v="520.4"/>
    <n v="357.52"/>
    <n v="162.88"/>
  </r>
  <r>
    <x v="248"/>
    <x v="1"/>
    <x v="1"/>
    <x v="3"/>
    <x v="2"/>
    <n v="3"/>
    <n v="276.36"/>
    <n v="213.51"/>
    <n v="829.08"/>
    <n v="640.53"/>
    <n v="188.55000000000007"/>
  </r>
  <r>
    <x v="249"/>
    <x v="9"/>
    <x v="0"/>
    <x v="2"/>
    <x v="3"/>
    <n v="6"/>
    <n v="63.76"/>
    <n v="43.29"/>
    <n v="382.56"/>
    <n v="259.74"/>
    <n v="122.82"/>
  </r>
  <r>
    <x v="249"/>
    <x v="5"/>
    <x v="2"/>
    <x v="7"/>
    <x v="4"/>
    <n v="6"/>
    <n v="596.51"/>
    <n v="433.12"/>
    <n v="3579.06"/>
    <n v="2598.7200000000003"/>
    <n v="980.33999999999969"/>
  </r>
  <r>
    <x v="250"/>
    <x v="4"/>
    <x v="3"/>
    <x v="6"/>
    <x v="4"/>
    <n v="10"/>
    <n v="43.67"/>
    <n v="25.08"/>
    <n v="436.70000000000005"/>
    <n v="250.79999999999998"/>
    <n v="185.90000000000006"/>
  </r>
  <r>
    <x v="251"/>
    <x v="7"/>
    <x v="3"/>
    <x v="1"/>
    <x v="3"/>
    <n v="9"/>
    <n v="80.28"/>
    <n v="51.14"/>
    <n v="722.52"/>
    <n v="460.26"/>
    <n v="262.26"/>
  </r>
  <r>
    <x v="252"/>
    <x v="5"/>
    <x v="2"/>
    <x v="0"/>
    <x v="0"/>
    <n v="2"/>
    <n v="644.70000000000005"/>
    <n v="504.96"/>
    <n v="1289.4000000000001"/>
    <n v="1009.92"/>
    <n v="279.48000000000013"/>
  </r>
  <r>
    <x v="252"/>
    <x v="5"/>
    <x v="2"/>
    <x v="0"/>
    <x v="1"/>
    <n v="10"/>
    <n v="629.76"/>
    <n v="516.29999999999995"/>
    <n v="6297.6"/>
    <n v="5163"/>
    <n v="1134.6000000000004"/>
  </r>
  <r>
    <x v="253"/>
    <x v="8"/>
    <x v="3"/>
    <x v="4"/>
    <x v="4"/>
    <n v="10"/>
    <n v="1194.71"/>
    <n v="806.09"/>
    <n v="11947.1"/>
    <n v="8060.9000000000005"/>
    <n v="3886.2"/>
  </r>
  <r>
    <x v="253"/>
    <x v="8"/>
    <x v="3"/>
    <x v="1"/>
    <x v="0"/>
    <n v="6"/>
    <n v="1374.79"/>
    <n v="826.58"/>
    <n v="8248.74"/>
    <n v="4959.4800000000005"/>
    <n v="3289.2599999999993"/>
  </r>
  <r>
    <x v="254"/>
    <x v="1"/>
    <x v="1"/>
    <x v="0"/>
    <x v="1"/>
    <n v="6"/>
    <n v="340.24"/>
    <n v="201.71"/>
    <n v="2041.44"/>
    <n v="1210.26"/>
    <n v="831.18000000000006"/>
  </r>
  <r>
    <x v="255"/>
    <x v="6"/>
    <x v="1"/>
    <x v="5"/>
    <x v="4"/>
    <n v="8"/>
    <n v="433.28"/>
    <n v="302.97000000000003"/>
    <n v="3466.24"/>
    <n v="2423.7600000000002"/>
    <n v="1042.4799999999996"/>
  </r>
  <r>
    <x v="255"/>
    <x v="7"/>
    <x v="3"/>
    <x v="0"/>
    <x v="2"/>
    <n v="10"/>
    <n v="92.09"/>
    <n v="52.16"/>
    <n v="920.90000000000009"/>
    <n v="521.59999999999991"/>
    <n v="399.30000000000018"/>
  </r>
  <r>
    <x v="256"/>
    <x v="1"/>
    <x v="1"/>
    <x v="6"/>
    <x v="0"/>
    <n v="1"/>
    <n v="295.41000000000003"/>
    <n v="230.12"/>
    <n v="295.41000000000003"/>
    <n v="230.12"/>
    <n v="65.29000000000002"/>
  </r>
  <r>
    <x v="256"/>
    <x v="2"/>
    <x v="2"/>
    <x v="5"/>
    <x v="1"/>
    <n v="2"/>
    <n v="66"/>
    <n v="40.96"/>
    <n v="132"/>
    <n v="81.92"/>
    <n v="50.08"/>
  </r>
  <r>
    <x v="256"/>
    <x v="2"/>
    <x v="2"/>
    <x v="4"/>
    <x v="4"/>
    <n v="5"/>
    <n v="83.43"/>
    <n v="48.05"/>
    <n v="417.15000000000003"/>
    <n v="240.25"/>
    <n v="176.90000000000003"/>
  </r>
  <r>
    <x v="257"/>
    <x v="4"/>
    <x v="3"/>
    <x v="0"/>
    <x v="1"/>
    <n v="1"/>
    <n v="47.9"/>
    <n v="25.17"/>
    <n v="47.9"/>
    <n v="25.17"/>
    <n v="22.729999999999997"/>
  </r>
  <r>
    <x v="258"/>
    <x v="4"/>
    <x v="3"/>
    <x v="4"/>
    <x v="0"/>
    <n v="6"/>
    <n v="48.29"/>
    <n v="22.77"/>
    <n v="289.74"/>
    <n v="136.62"/>
    <n v="153.12"/>
  </r>
  <r>
    <x v="258"/>
    <x v="8"/>
    <x v="3"/>
    <x v="2"/>
    <x v="1"/>
    <n v="2"/>
    <n v="1274.02"/>
    <n v="883.06"/>
    <n v="2548.04"/>
    <n v="1766.12"/>
    <n v="781.92000000000007"/>
  </r>
  <r>
    <x v="259"/>
    <x v="3"/>
    <x v="0"/>
    <x v="6"/>
    <x v="3"/>
    <n v="8"/>
    <n v="50.14"/>
    <n v="32.659999999999997"/>
    <n v="401.12"/>
    <n v="261.27999999999997"/>
    <n v="139.84000000000003"/>
  </r>
  <r>
    <x v="259"/>
    <x v="1"/>
    <x v="1"/>
    <x v="3"/>
    <x v="4"/>
    <n v="6"/>
    <n v="316.64999999999998"/>
    <n v="204.95"/>
    <n v="1899.8999999999999"/>
    <n v="1229.6999999999998"/>
    <n v="670.2"/>
  </r>
  <r>
    <x v="259"/>
    <x v="1"/>
    <x v="1"/>
    <x v="3"/>
    <x v="1"/>
    <n v="10"/>
    <n v="291.06"/>
    <n v="202.87"/>
    <n v="2910.6"/>
    <n v="2028.7"/>
    <n v="881.89999999999986"/>
  </r>
  <r>
    <x v="260"/>
    <x v="7"/>
    <x v="3"/>
    <x v="7"/>
    <x v="4"/>
    <n v="3"/>
    <n v="95.88"/>
    <n v="52.11"/>
    <n v="287.64"/>
    <n v="156.32999999999998"/>
    <n v="131.31"/>
  </r>
  <r>
    <x v="261"/>
    <x v="9"/>
    <x v="0"/>
    <x v="1"/>
    <x v="2"/>
    <n v="10"/>
    <n v="59.99"/>
    <n v="43.46"/>
    <n v="599.9"/>
    <n v="434.6"/>
    <n v="165.29999999999995"/>
  </r>
  <r>
    <x v="261"/>
    <x v="1"/>
    <x v="1"/>
    <x v="5"/>
    <x v="2"/>
    <n v="6"/>
    <n v="284.14"/>
    <n v="199.85"/>
    <n v="1704.84"/>
    <n v="1199.0999999999999"/>
    <n v="505.74"/>
  </r>
  <r>
    <x v="262"/>
    <x v="0"/>
    <x v="0"/>
    <x v="4"/>
    <x v="1"/>
    <n v="4"/>
    <n v="277.3"/>
    <n v="204.98"/>
    <n v="1109.2"/>
    <n v="819.92"/>
    <n v="289.28000000000009"/>
  </r>
  <r>
    <x v="262"/>
    <x v="0"/>
    <x v="0"/>
    <x v="2"/>
    <x v="1"/>
    <n v="5"/>
    <n v="257.87"/>
    <n v="177.57"/>
    <n v="1289.3499999999999"/>
    <n v="887.84999999999991"/>
    <n v="401.5"/>
  </r>
  <r>
    <x v="262"/>
    <x v="6"/>
    <x v="1"/>
    <x v="1"/>
    <x v="2"/>
    <n v="6"/>
    <n v="489.38"/>
    <n v="325.54000000000002"/>
    <n v="2936.2799999999997"/>
    <n v="1953.2400000000002"/>
    <n v="983.03999999999951"/>
  </r>
  <r>
    <x v="262"/>
    <x v="6"/>
    <x v="1"/>
    <x v="3"/>
    <x v="4"/>
    <n v="2"/>
    <n v="443.34"/>
    <n v="300.61"/>
    <n v="886.68"/>
    <n v="601.22"/>
    <n v="285.45999999999992"/>
  </r>
  <r>
    <x v="262"/>
    <x v="1"/>
    <x v="1"/>
    <x v="7"/>
    <x v="2"/>
    <n v="5"/>
    <n v="335.07"/>
    <n v="191.63"/>
    <n v="1675.35"/>
    <n v="958.15"/>
    <n v="717.19999999999993"/>
  </r>
  <r>
    <x v="263"/>
    <x v="5"/>
    <x v="2"/>
    <x v="3"/>
    <x v="2"/>
    <n v="9"/>
    <n v="660.66"/>
    <n v="442.38"/>
    <n v="5945.94"/>
    <n v="3981.42"/>
    <n v="1964.5199999999995"/>
  </r>
  <r>
    <x v="264"/>
    <x v="4"/>
    <x v="3"/>
    <x v="3"/>
    <x v="3"/>
    <n v="7"/>
    <n v="48.81"/>
    <n v="23.31"/>
    <n v="341.67"/>
    <n v="163.16999999999999"/>
    <n v="178.50000000000003"/>
  </r>
  <r>
    <x v="264"/>
    <x v="3"/>
    <x v="0"/>
    <x v="0"/>
    <x v="3"/>
    <n v="1"/>
    <n v="57.14"/>
    <n v="36.31"/>
    <n v="57.14"/>
    <n v="36.31"/>
    <n v="20.83"/>
  </r>
  <r>
    <x v="265"/>
    <x v="5"/>
    <x v="2"/>
    <x v="7"/>
    <x v="0"/>
    <n v="1"/>
    <n v="624.1"/>
    <n v="441.78"/>
    <n v="624.1"/>
    <n v="441.78"/>
    <n v="182.32000000000005"/>
  </r>
  <r>
    <x v="265"/>
    <x v="2"/>
    <x v="2"/>
    <x v="2"/>
    <x v="3"/>
    <n v="2"/>
    <n v="83.43"/>
    <n v="47.59"/>
    <n v="166.86"/>
    <n v="95.18"/>
    <n v="71.680000000000007"/>
  </r>
  <r>
    <x v="266"/>
    <x v="3"/>
    <x v="0"/>
    <x v="3"/>
    <x v="3"/>
    <n v="8"/>
    <n v="47.29"/>
    <n v="32.76"/>
    <n v="378.32"/>
    <n v="262.08"/>
    <n v="116.24000000000001"/>
  </r>
  <r>
    <x v="267"/>
    <x v="4"/>
    <x v="3"/>
    <x v="4"/>
    <x v="1"/>
    <n v="1"/>
    <n v="49.14"/>
    <n v="26.58"/>
    <n v="49.14"/>
    <n v="26.58"/>
    <n v="22.560000000000002"/>
  </r>
  <r>
    <x v="268"/>
    <x v="3"/>
    <x v="0"/>
    <x v="3"/>
    <x v="2"/>
    <n v="5"/>
    <n v="52.18"/>
    <n v="37.57"/>
    <n v="260.89999999999998"/>
    <n v="187.85"/>
    <n v="73.049999999999983"/>
  </r>
  <r>
    <x v="268"/>
    <x v="1"/>
    <x v="1"/>
    <x v="0"/>
    <x v="0"/>
    <n v="6"/>
    <n v="354.57"/>
    <n v="193.79"/>
    <n v="2127.42"/>
    <n v="1162.74"/>
    <n v="964.68000000000006"/>
  </r>
  <r>
    <x v="268"/>
    <x v="0"/>
    <x v="0"/>
    <x v="6"/>
    <x v="0"/>
    <n v="3"/>
    <n v="256.5"/>
    <n v="181.31"/>
    <n v="769.5"/>
    <n v="543.93000000000006"/>
    <n v="225.56999999999994"/>
  </r>
  <r>
    <x v="269"/>
    <x v="9"/>
    <x v="0"/>
    <x v="4"/>
    <x v="2"/>
    <n v="4"/>
    <n v="73.760000000000005"/>
    <n v="39.61"/>
    <n v="295.04000000000002"/>
    <n v="158.44"/>
    <n v="136.60000000000002"/>
  </r>
  <r>
    <x v="270"/>
    <x v="2"/>
    <x v="2"/>
    <x v="6"/>
    <x v="1"/>
    <n v="2"/>
    <n v="81.31"/>
    <n v="43.35"/>
    <n v="162.62"/>
    <n v="86.7"/>
    <n v="75.92"/>
  </r>
  <r>
    <x v="270"/>
    <x v="5"/>
    <x v="2"/>
    <x v="1"/>
    <x v="3"/>
    <n v="5"/>
    <n v="600.79999999999995"/>
    <n v="489.15"/>
    <n v="3004"/>
    <n v="2445.75"/>
    <n v="558.25"/>
  </r>
  <r>
    <x v="271"/>
    <x v="9"/>
    <x v="0"/>
    <x v="6"/>
    <x v="2"/>
    <n v="3"/>
    <n v="72.22"/>
    <n v="38.69"/>
    <n v="216.66"/>
    <n v="116.07"/>
    <n v="100.59"/>
  </r>
  <r>
    <x v="272"/>
    <x v="1"/>
    <x v="1"/>
    <x v="0"/>
    <x v="0"/>
    <n v="9"/>
    <n v="339.12"/>
    <n v="199.97"/>
    <n v="3052.08"/>
    <n v="1799.73"/>
    <n v="1252.3499999999999"/>
  </r>
  <r>
    <x v="272"/>
    <x v="6"/>
    <x v="1"/>
    <x v="3"/>
    <x v="2"/>
    <n v="5"/>
    <n v="442.74"/>
    <n v="328.15"/>
    <n v="2213.6999999999998"/>
    <n v="1640.75"/>
    <n v="572.94999999999982"/>
  </r>
  <r>
    <x v="273"/>
    <x v="7"/>
    <x v="3"/>
    <x v="4"/>
    <x v="2"/>
    <n v="5"/>
    <n v="92.8"/>
    <n v="55.01"/>
    <n v="464"/>
    <n v="275.05"/>
    <n v="188.95"/>
  </r>
  <r>
    <x v="274"/>
    <x v="0"/>
    <x v="0"/>
    <x v="6"/>
    <x v="1"/>
    <n v="5"/>
    <n v="255.04"/>
    <n v="189.65"/>
    <n v="1275.2"/>
    <n v="948.25"/>
    <n v="326.95000000000005"/>
  </r>
  <r>
    <x v="275"/>
    <x v="1"/>
    <x v="1"/>
    <x v="3"/>
    <x v="3"/>
    <n v="5"/>
    <n v="334.18"/>
    <n v="208.07"/>
    <n v="1670.9"/>
    <n v="1040.3499999999999"/>
    <n v="630.55000000000018"/>
  </r>
  <r>
    <x v="275"/>
    <x v="7"/>
    <x v="3"/>
    <x v="7"/>
    <x v="0"/>
    <n v="7"/>
    <n v="100.24"/>
    <n v="51.95"/>
    <n v="701.68"/>
    <n v="363.65000000000003"/>
    <n v="338.02999999999992"/>
  </r>
  <r>
    <x v="276"/>
    <x v="9"/>
    <x v="0"/>
    <x v="4"/>
    <x v="4"/>
    <n v="9"/>
    <n v="69.42"/>
    <n v="45.32"/>
    <n v="624.78"/>
    <n v="407.88"/>
    <n v="216.89999999999998"/>
  </r>
  <r>
    <x v="277"/>
    <x v="3"/>
    <x v="0"/>
    <x v="6"/>
    <x v="0"/>
    <n v="8"/>
    <n v="52.6"/>
    <n v="36.17"/>
    <n v="420.8"/>
    <n v="289.36"/>
    <n v="131.44"/>
  </r>
  <r>
    <x v="278"/>
    <x v="9"/>
    <x v="0"/>
    <x v="2"/>
    <x v="3"/>
    <n v="8"/>
    <n v="65.7"/>
    <n v="41.3"/>
    <n v="525.6"/>
    <n v="330.4"/>
    <n v="195.20000000000005"/>
  </r>
  <r>
    <x v="278"/>
    <x v="1"/>
    <x v="1"/>
    <x v="5"/>
    <x v="3"/>
    <n v="6"/>
    <n v="313"/>
    <n v="212.71"/>
    <n v="1878"/>
    <n v="1276.26"/>
    <n v="601.74"/>
  </r>
  <r>
    <x v="278"/>
    <x v="6"/>
    <x v="1"/>
    <x v="6"/>
    <x v="4"/>
    <n v="2"/>
    <n v="451.14"/>
    <n v="304.17"/>
    <n v="902.28"/>
    <n v="608.34"/>
    <n v="293.93999999999994"/>
  </r>
  <r>
    <x v="279"/>
    <x v="1"/>
    <x v="1"/>
    <x v="3"/>
    <x v="1"/>
    <n v="3"/>
    <n v="345.94"/>
    <n v="191.67"/>
    <n v="1037.82"/>
    <n v="575.01"/>
    <n v="462.80999999999995"/>
  </r>
  <r>
    <x v="280"/>
    <x v="7"/>
    <x v="3"/>
    <x v="0"/>
    <x v="0"/>
    <n v="6"/>
    <n v="101.07"/>
    <n v="53.52"/>
    <n v="606.41999999999996"/>
    <n v="321.12"/>
    <n v="285.29999999999995"/>
  </r>
  <r>
    <x v="280"/>
    <x v="8"/>
    <x v="3"/>
    <x v="1"/>
    <x v="2"/>
    <n v="7"/>
    <n v="1320.38"/>
    <n v="859.24"/>
    <n v="9242.66"/>
    <n v="6014.68"/>
    <n v="3227.9799999999996"/>
  </r>
  <r>
    <x v="281"/>
    <x v="3"/>
    <x v="0"/>
    <x v="2"/>
    <x v="2"/>
    <n v="10"/>
    <n v="49.61"/>
    <n v="37.82"/>
    <n v="496.1"/>
    <n v="378.2"/>
    <n v="117.90000000000003"/>
  </r>
  <r>
    <x v="282"/>
    <x v="5"/>
    <x v="2"/>
    <x v="6"/>
    <x v="4"/>
    <n v="9"/>
    <n v="762.35"/>
    <n v="491.55"/>
    <n v="6861.1500000000005"/>
    <n v="4423.95"/>
    <n v="2437.2000000000007"/>
  </r>
  <r>
    <x v="282"/>
    <x v="1"/>
    <x v="1"/>
    <x v="3"/>
    <x v="1"/>
    <n v="6"/>
    <n v="300.57"/>
    <n v="209.31"/>
    <n v="1803.42"/>
    <n v="1255.8600000000001"/>
    <n v="547.55999999999995"/>
  </r>
  <r>
    <x v="282"/>
    <x v="6"/>
    <x v="1"/>
    <x v="5"/>
    <x v="4"/>
    <n v="4"/>
    <n v="510.94"/>
    <n v="313.08"/>
    <n v="2043.76"/>
    <n v="1252.32"/>
    <n v="791.44"/>
  </r>
  <r>
    <x v="283"/>
    <x v="0"/>
    <x v="0"/>
    <x v="6"/>
    <x v="0"/>
    <n v="1"/>
    <n v="272.33999999999997"/>
    <n v="192.77"/>
    <n v="272.33999999999997"/>
    <n v="192.77"/>
    <n v="79.569999999999965"/>
  </r>
  <r>
    <x v="283"/>
    <x v="0"/>
    <x v="0"/>
    <x v="4"/>
    <x v="0"/>
    <n v="10"/>
    <n v="269.17"/>
    <n v="182.54"/>
    <n v="2691.7000000000003"/>
    <n v="1825.3999999999999"/>
    <n v="866.30000000000041"/>
  </r>
  <r>
    <x v="283"/>
    <x v="8"/>
    <x v="3"/>
    <x v="0"/>
    <x v="3"/>
    <n v="1"/>
    <n v="1336.03"/>
    <n v="896.41"/>
    <n v="1336.03"/>
    <n v="896.41"/>
    <n v="439.62"/>
  </r>
  <r>
    <x v="284"/>
    <x v="7"/>
    <x v="3"/>
    <x v="2"/>
    <x v="4"/>
    <n v="10"/>
    <n v="76.42"/>
    <n v="56.91"/>
    <n v="764.2"/>
    <n v="569.09999999999991"/>
    <n v="195.10000000000014"/>
  </r>
  <r>
    <x v="285"/>
    <x v="1"/>
    <x v="1"/>
    <x v="1"/>
    <x v="0"/>
    <n v="5"/>
    <n v="352.37"/>
    <n v="204.31"/>
    <n v="1761.85"/>
    <n v="1021.55"/>
    <n v="740.3"/>
  </r>
  <r>
    <x v="285"/>
    <x v="1"/>
    <x v="1"/>
    <x v="3"/>
    <x v="4"/>
    <n v="8"/>
    <n v="365.53"/>
    <n v="205.9"/>
    <n v="2924.24"/>
    <n v="1647.2"/>
    <n v="1277.0399999999997"/>
  </r>
  <r>
    <x v="285"/>
    <x v="7"/>
    <x v="3"/>
    <x v="5"/>
    <x v="2"/>
    <n v="5"/>
    <n v="95.61"/>
    <n v="49.58"/>
    <n v="478.05"/>
    <n v="247.89999999999998"/>
    <n v="230.15000000000003"/>
  </r>
  <r>
    <x v="286"/>
    <x v="6"/>
    <x v="1"/>
    <x v="6"/>
    <x v="3"/>
    <n v="4"/>
    <n v="402.64"/>
    <n v="322.27"/>
    <n v="1610.56"/>
    <n v="1289.08"/>
    <n v="321.48"/>
  </r>
  <r>
    <x v="287"/>
    <x v="4"/>
    <x v="3"/>
    <x v="4"/>
    <x v="4"/>
    <n v="3"/>
    <n v="40.92"/>
    <n v="24.29"/>
    <n v="122.76"/>
    <n v="72.87"/>
    <n v="49.89"/>
  </r>
  <r>
    <x v="288"/>
    <x v="2"/>
    <x v="2"/>
    <x v="4"/>
    <x v="0"/>
    <n v="8"/>
    <n v="77.97"/>
    <n v="46.05"/>
    <n v="623.76"/>
    <n v="368.4"/>
    <n v="255.36"/>
  </r>
  <r>
    <x v="288"/>
    <x v="7"/>
    <x v="3"/>
    <x v="1"/>
    <x v="0"/>
    <n v="10"/>
    <n v="80.209999999999994"/>
    <n v="53.91"/>
    <n v="802.09999999999991"/>
    <n v="539.09999999999991"/>
    <n v="263"/>
  </r>
  <r>
    <x v="288"/>
    <x v="6"/>
    <x v="1"/>
    <x v="5"/>
    <x v="1"/>
    <n v="8"/>
    <n v="391.34"/>
    <n v="313.11"/>
    <n v="3130.72"/>
    <n v="2504.88"/>
    <n v="625.83999999999969"/>
  </r>
  <r>
    <x v="288"/>
    <x v="6"/>
    <x v="1"/>
    <x v="1"/>
    <x v="1"/>
    <n v="9"/>
    <n v="405.24"/>
    <n v="305.95"/>
    <n v="3647.16"/>
    <n v="2753.5499999999997"/>
    <n v="893.61000000000013"/>
  </r>
  <r>
    <x v="288"/>
    <x v="9"/>
    <x v="0"/>
    <x v="7"/>
    <x v="3"/>
    <n v="9"/>
    <n v="60.87"/>
    <n v="41.4"/>
    <n v="547.82999999999993"/>
    <n v="372.59999999999997"/>
    <n v="175.22999999999996"/>
  </r>
  <r>
    <x v="289"/>
    <x v="8"/>
    <x v="3"/>
    <x v="0"/>
    <x v="0"/>
    <n v="6"/>
    <n v="1338.13"/>
    <n v="808.57"/>
    <n v="8028.7800000000007"/>
    <n v="4851.42"/>
    <n v="3177.3600000000006"/>
  </r>
  <r>
    <x v="290"/>
    <x v="2"/>
    <x v="2"/>
    <x v="6"/>
    <x v="1"/>
    <n v="7"/>
    <n v="77.53"/>
    <n v="48.19"/>
    <n v="542.71"/>
    <n v="337.33"/>
    <n v="205.38000000000005"/>
  </r>
  <r>
    <x v="290"/>
    <x v="1"/>
    <x v="1"/>
    <x v="2"/>
    <x v="2"/>
    <n v="5"/>
    <n v="319.47000000000003"/>
    <n v="194.21"/>
    <n v="1597.3500000000001"/>
    <n v="971.05000000000007"/>
    <n v="626.30000000000007"/>
  </r>
  <r>
    <x v="291"/>
    <x v="5"/>
    <x v="2"/>
    <x v="6"/>
    <x v="0"/>
    <n v="3"/>
    <n v="693.29"/>
    <n v="509.98"/>
    <n v="2079.87"/>
    <n v="1529.94"/>
    <n v="549.92999999999984"/>
  </r>
  <r>
    <x v="291"/>
    <x v="7"/>
    <x v="3"/>
    <x v="2"/>
    <x v="0"/>
    <n v="4"/>
    <n v="101.67"/>
    <n v="52.62"/>
    <n v="406.68"/>
    <n v="210.48"/>
    <n v="196.20000000000002"/>
  </r>
  <r>
    <x v="292"/>
    <x v="4"/>
    <x v="3"/>
    <x v="2"/>
    <x v="1"/>
    <n v="8"/>
    <n v="47.96"/>
    <n v="23.72"/>
    <n v="383.68"/>
    <n v="189.76"/>
    <n v="193.92000000000002"/>
  </r>
  <r>
    <x v="293"/>
    <x v="1"/>
    <x v="1"/>
    <x v="3"/>
    <x v="4"/>
    <n v="2"/>
    <n v="296.05"/>
    <n v="204.92"/>
    <n v="592.1"/>
    <n v="409.84"/>
    <n v="182.26000000000005"/>
  </r>
  <r>
    <x v="294"/>
    <x v="3"/>
    <x v="0"/>
    <x v="6"/>
    <x v="3"/>
    <n v="2"/>
    <n v="52.02"/>
    <n v="37.47"/>
    <n v="104.04"/>
    <n v="74.94"/>
    <n v="29.100000000000009"/>
  </r>
  <r>
    <x v="295"/>
    <x v="2"/>
    <x v="2"/>
    <x v="5"/>
    <x v="0"/>
    <n v="3"/>
    <n v="77.55"/>
    <n v="43.79"/>
    <n v="232.64999999999998"/>
    <n v="131.37"/>
    <n v="101.27999999999997"/>
  </r>
  <r>
    <x v="296"/>
    <x v="2"/>
    <x v="2"/>
    <x v="3"/>
    <x v="4"/>
    <n v="8"/>
    <n v="79.459999999999994"/>
    <n v="43.79"/>
    <n v="635.67999999999995"/>
    <n v="350.32"/>
    <n v="285.35999999999996"/>
  </r>
  <r>
    <x v="296"/>
    <x v="7"/>
    <x v="3"/>
    <x v="2"/>
    <x v="2"/>
    <n v="9"/>
    <n v="87.7"/>
    <n v="54.06"/>
    <n v="789.30000000000007"/>
    <n v="486.54"/>
    <n v="302.76000000000005"/>
  </r>
  <r>
    <x v="297"/>
    <x v="8"/>
    <x v="3"/>
    <x v="5"/>
    <x v="4"/>
    <n v="3"/>
    <n v="1136.3"/>
    <n v="774.53"/>
    <n v="3408.8999999999996"/>
    <n v="2323.59"/>
    <n v="1085.3099999999995"/>
  </r>
  <r>
    <x v="297"/>
    <x v="4"/>
    <x v="3"/>
    <x v="5"/>
    <x v="4"/>
    <n v="8"/>
    <n v="50.3"/>
    <n v="24.53"/>
    <n v="402.4"/>
    <n v="196.24"/>
    <n v="206.15999999999997"/>
  </r>
  <r>
    <x v="297"/>
    <x v="9"/>
    <x v="0"/>
    <x v="5"/>
    <x v="0"/>
    <n v="4"/>
    <n v="60.64"/>
    <n v="41.97"/>
    <n v="242.56"/>
    <n v="167.88"/>
    <n v="74.680000000000007"/>
  </r>
  <r>
    <x v="297"/>
    <x v="8"/>
    <x v="3"/>
    <x v="3"/>
    <x v="4"/>
    <n v="10"/>
    <n v="1260.6199999999999"/>
    <n v="868.53"/>
    <n v="12606.199999999999"/>
    <n v="8685.2999999999993"/>
    <n v="3920.8999999999996"/>
  </r>
  <r>
    <x v="298"/>
    <x v="7"/>
    <x v="3"/>
    <x v="7"/>
    <x v="0"/>
    <n v="4"/>
    <n v="80.680000000000007"/>
    <n v="55.66"/>
    <n v="322.72000000000003"/>
    <n v="222.64"/>
    <n v="100.08000000000004"/>
  </r>
  <r>
    <x v="299"/>
    <x v="7"/>
    <x v="3"/>
    <x v="4"/>
    <x v="4"/>
    <n v="9"/>
    <n v="85.4"/>
    <n v="49.46"/>
    <n v="768.6"/>
    <n v="445.14"/>
    <n v="323.46000000000004"/>
  </r>
  <r>
    <x v="299"/>
    <x v="2"/>
    <x v="2"/>
    <x v="1"/>
    <x v="3"/>
    <n v="4"/>
    <n v="81.41"/>
    <n v="46.92"/>
    <n v="325.64"/>
    <n v="187.68"/>
    <n v="137.95999999999998"/>
  </r>
  <r>
    <x v="300"/>
    <x v="5"/>
    <x v="2"/>
    <x v="3"/>
    <x v="1"/>
    <n v="8"/>
    <n v="630.63"/>
    <n v="437.53"/>
    <n v="5045.04"/>
    <n v="3500.24"/>
    <n v="1544.8000000000002"/>
  </r>
  <r>
    <x v="300"/>
    <x v="8"/>
    <x v="3"/>
    <x v="0"/>
    <x v="2"/>
    <n v="10"/>
    <n v="1026.94"/>
    <n v="876.63"/>
    <n v="10269.400000000001"/>
    <n v="8766.2999999999993"/>
    <n v="1503.1000000000022"/>
  </r>
  <r>
    <x v="300"/>
    <x v="2"/>
    <x v="2"/>
    <x v="3"/>
    <x v="1"/>
    <n v="7"/>
    <n v="84.99"/>
    <n v="47.44"/>
    <n v="594.92999999999995"/>
    <n v="332.08"/>
    <n v="262.84999999999997"/>
  </r>
  <r>
    <x v="300"/>
    <x v="5"/>
    <x v="2"/>
    <x v="7"/>
    <x v="2"/>
    <n v="6"/>
    <n v="691.21"/>
    <n v="436.16"/>
    <n v="4147.26"/>
    <n v="2616.96"/>
    <n v="1530.3000000000002"/>
  </r>
  <r>
    <x v="301"/>
    <x v="3"/>
    <x v="0"/>
    <x v="7"/>
    <x v="0"/>
    <n v="9"/>
    <n v="54.68"/>
    <n v="33.119999999999997"/>
    <n v="492.12"/>
    <n v="298.08"/>
    <n v="194.04000000000002"/>
  </r>
  <r>
    <x v="301"/>
    <x v="1"/>
    <x v="1"/>
    <x v="7"/>
    <x v="3"/>
    <n v="3"/>
    <n v="292.18"/>
    <n v="202.57"/>
    <n v="876.54"/>
    <n v="607.71"/>
    <n v="268.82999999999993"/>
  </r>
  <r>
    <x v="301"/>
    <x v="7"/>
    <x v="3"/>
    <x v="0"/>
    <x v="4"/>
    <n v="5"/>
    <n v="95"/>
    <n v="51.59"/>
    <n v="475"/>
    <n v="257.95000000000005"/>
    <n v="217.04999999999995"/>
  </r>
  <r>
    <x v="302"/>
    <x v="7"/>
    <x v="3"/>
    <x v="2"/>
    <x v="2"/>
    <n v="10"/>
    <n v="98.07"/>
    <n v="51.06"/>
    <n v="980.69999999999993"/>
    <n v="510.6"/>
    <n v="470.09999999999991"/>
  </r>
  <r>
    <x v="302"/>
    <x v="0"/>
    <x v="0"/>
    <x v="5"/>
    <x v="3"/>
    <n v="7"/>
    <n v="253.21"/>
    <n v="174.91"/>
    <n v="1772.47"/>
    <n v="1224.3699999999999"/>
    <n v="548.10000000000014"/>
  </r>
  <r>
    <x v="303"/>
    <x v="8"/>
    <x v="3"/>
    <x v="4"/>
    <x v="1"/>
    <n v="5"/>
    <n v="1181.23"/>
    <n v="933.22"/>
    <n v="5906.15"/>
    <n v="4666.1000000000004"/>
    <n v="1240.0499999999993"/>
  </r>
  <r>
    <x v="304"/>
    <x v="6"/>
    <x v="1"/>
    <x v="4"/>
    <x v="0"/>
    <n v="7"/>
    <n v="427.06"/>
    <n v="318.55"/>
    <n v="2989.42"/>
    <n v="2229.85"/>
    <n v="759.57000000000016"/>
  </r>
  <r>
    <x v="304"/>
    <x v="1"/>
    <x v="1"/>
    <x v="2"/>
    <x v="0"/>
    <n v="8"/>
    <n v="340.5"/>
    <n v="230.88"/>
    <n v="2724"/>
    <n v="1847.04"/>
    <n v="876.96"/>
  </r>
  <r>
    <x v="305"/>
    <x v="2"/>
    <x v="2"/>
    <x v="4"/>
    <x v="3"/>
    <n v="5"/>
    <n v="73.05"/>
    <n v="46.08"/>
    <n v="365.25"/>
    <n v="230.39999999999998"/>
    <n v="134.85000000000002"/>
  </r>
  <r>
    <x v="306"/>
    <x v="7"/>
    <x v="3"/>
    <x v="4"/>
    <x v="1"/>
    <n v="4"/>
    <n v="95.56"/>
    <n v="55.87"/>
    <n v="382.24"/>
    <n v="223.48"/>
    <n v="158.76000000000002"/>
  </r>
  <r>
    <x v="306"/>
    <x v="4"/>
    <x v="3"/>
    <x v="4"/>
    <x v="2"/>
    <n v="9"/>
    <n v="40.51"/>
    <n v="26.42"/>
    <n v="364.59"/>
    <n v="237.78000000000003"/>
    <n v="126.80999999999995"/>
  </r>
  <r>
    <x v="307"/>
    <x v="7"/>
    <x v="3"/>
    <x v="6"/>
    <x v="3"/>
    <n v="8"/>
    <n v="86.3"/>
    <n v="56.19"/>
    <n v="690.4"/>
    <n v="449.52"/>
    <n v="240.88"/>
  </r>
  <r>
    <x v="307"/>
    <x v="9"/>
    <x v="0"/>
    <x v="4"/>
    <x v="0"/>
    <n v="5"/>
    <n v="70.709999999999994"/>
    <n v="43.39"/>
    <n v="353.54999999999995"/>
    <n v="216.95"/>
    <n v="136.59999999999997"/>
  </r>
  <r>
    <x v="308"/>
    <x v="3"/>
    <x v="0"/>
    <x v="4"/>
    <x v="4"/>
    <n v="1"/>
    <n v="49.45"/>
    <n v="32.619999999999997"/>
    <n v="49.45"/>
    <n v="32.619999999999997"/>
    <n v="16.830000000000005"/>
  </r>
  <r>
    <x v="309"/>
    <x v="5"/>
    <x v="2"/>
    <x v="4"/>
    <x v="2"/>
    <n v="2"/>
    <n v="736.88"/>
    <n v="492.46"/>
    <n v="1473.76"/>
    <n v="984.92"/>
    <n v="488.84000000000003"/>
  </r>
  <r>
    <x v="309"/>
    <x v="8"/>
    <x v="3"/>
    <x v="7"/>
    <x v="1"/>
    <n v="5"/>
    <n v="1356.43"/>
    <n v="846.17"/>
    <n v="6782.1500000000005"/>
    <n v="4230.8499999999995"/>
    <n v="2551.3000000000011"/>
  </r>
  <r>
    <x v="309"/>
    <x v="7"/>
    <x v="3"/>
    <x v="0"/>
    <x v="2"/>
    <n v="3"/>
    <n v="84.37"/>
    <n v="56.01"/>
    <n v="253.11"/>
    <n v="168.03"/>
    <n v="85.080000000000013"/>
  </r>
  <r>
    <x v="310"/>
    <x v="2"/>
    <x v="2"/>
    <x v="4"/>
    <x v="3"/>
    <n v="9"/>
    <n v="65.95"/>
    <n v="44.05"/>
    <n v="593.55000000000007"/>
    <n v="396.45"/>
    <n v="197.10000000000008"/>
  </r>
  <r>
    <x v="310"/>
    <x v="0"/>
    <x v="0"/>
    <x v="4"/>
    <x v="0"/>
    <n v="7"/>
    <n v="243.49"/>
    <n v="188.13"/>
    <n v="1704.43"/>
    <n v="1316.9099999999999"/>
    <n v="387.52000000000021"/>
  </r>
  <r>
    <x v="311"/>
    <x v="6"/>
    <x v="1"/>
    <x v="2"/>
    <x v="2"/>
    <n v="2"/>
    <n v="447.71"/>
    <n v="307.14"/>
    <n v="895.42"/>
    <n v="614.28"/>
    <n v="281.14"/>
  </r>
  <r>
    <x v="311"/>
    <x v="1"/>
    <x v="1"/>
    <x v="0"/>
    <x v="1"/>
    <n v="3"/>
    <n v="301.7"/>
    <n v="227.84"/>
    <n v="905.09999999999991"/>
    <n v="683.52"/>
    <n v="221.57999999999993"/>
  </r>
  <r>
    <x v="312"/>
    <x v="5"/>
    <x v="2"/>
    <x v="7"/>
    <x v="4"/>
    <n v="2"/>
    <n v="644.51"/>
    <n v="444.32"/>
    <n v="1289.02"/>
    <n v="888.64"/>
    <n v="400.38"/>
  </r>
  <r>
    <x v="312"/>
    <x v="8"/>
    <x v="3"/>
    <x v="1"/>
    <x v="0"/>
    <n v="2"/>
    <n v="1271.95"/>
    <n v="792.64"/>
    <n v="2543.9"/>
    <n v="1585.28"/>
    <n v="958.62000000000012"/>
  </r>
  <r>
    <x v="313"/>
    <x v="0"/>
    <x v="0"/>
    <x v="3"/>
    <x v="2"/>
    <n v="7"/>
    <n v="301.57"/>
    <n v="171.92"/>
    <n v="2110.9899999999998"/>
    <n v="1203.4399999999998"/>
    <n v="907.55"/>
  </r>
  <r>
    <x v="314"/>
    <x v="6"/>
    <x v="1"/>
    <x v="5"/>
    <x v="1"/>
    <n v="8"/>
    <n v="386.24"/>
    <n v="317.08999999999997"/>
    <n v="3089.92"/>
    <n v="2536.7199999999998"/>
    <n v="553.20000000000027"/>
  </r>
  <r>
    <x v="314"/>
    <x v="8"/>
    <x v="3"/>
    <x v="7"/>
    <x v="0"/>
    <n v="3"/>
    <n v="1234.9100000000001"/>
    <n v="920.26"/>
    <n v="3704.7300000000005"/>
    <n v="2760.7799999999997"/>
    <n v="943.95000000000073"/>
  </r>
  <r>
    <x v="315"/>
    <x v="4"/>
    <x v="3"/>
    <x v="5"/>
    <x v="0"/>
    <n v="4"/>
    <n v="38.89"/>
    <n v="24.74"/>
    <n v="155.56"/>
    <n v="98.96"/>
    <n v="56.600000000000009"/>
  </r>
  <r>
    <x v="315"/>
    <x v="2"/>
    <x v="2"/>
    <x v="0"/>
    <x v="1"/>
    <n v="4"/>
    <n v="69.7"/>
    <n v="41.52"/>
    <n v="278.8"/>
    <n v="166.08"/>
    <n v="112.72"/>
  </r>
  <r>
    <x v="315"/>
    <x v="3"/>
    <x v="0"/>
    <x v="7"/>
    <x v="4"/>
    <n v="3"/>
    <n v="57.34"/>
    <n v="32.64"/>
    <n v="172.02"/>
    <n v="97.92"/>
    <n v="74.100000000000009"/>
  </r>
  <r>
    <x v="315"/>
    <x v="9"/>
    <x v="0"/>
    <x v="3"/>
    <x v="3"/>
    <n v="2"/>
    <n v="72.099999999999994"/>
    <n v="41.15"/>
    <n v="144.19999999999999"/>
    <n v="82.3"/>
    <n v="61.899999999999991"/>
  </r>
  <r>
    <x v="316"/>
    <x v="7"/>
    <x v="3"/>
    <x v="1"/>
    <x v="0"/>
    <n v="2"/>
    <n v="89.53"/>
    <n v="53.69"/>
    <n v="179.06"/>
    <n v="107.38"/>
    <n v="71.680000000000007"/>
  </r>
  <r>
    <x v="316"/>
    <x v="1"/>
    <x v="1"/>
    <x v="6"/>
    <x v="2"/>
    <n v="3"/>
    <n v="286.22000000000003"/>
    <n v="192.51"/>
    <n v="858.66000000000008"/>
    <n v="577.53"/>
    <n v="281.13000000000011"/>
  </r>
  <r>
    <x v="317"/>
    <x v="1"/>
    <x v="1"/>
    <x v="6"/>
    <x v="4"/>
    <n v="9"/>
    <n v="298.33999999999997"/>
    <n v="225.4"/>
    <n v="2685.06"/>
    <n v="2028.6000000000001"/>
    <n v="656.45999999999981"/>
  </r>
  <r>
    <x v="318"/>
    <x v="7"/>
    <x v="3"/>
    <x v="0"/>
    <x v="2"/>
    <n v="2"/>
    <n v="93.07"/>
    <n v="56.16"/>
    <n v="186.14"/>
    <n v="112.32"/>
    <n v="73.819999999999993"/>
  </r>
  <r>
    <x v="319"/>
    <x v="0"/>
    <x v="0"/>
    <x v="6"/>
    <x v="2"/>
    <n v="3"/>
    <n v="294.07"/>
    <n v="204.82"/>
    <n v="882.21"/>
    <n v="614.46"/>
    <n v="267.75"/>
  </r>
  <r>
    <x v="319"/>
    <x v="9"/>
    <x v="0"/>
    <x v="0"/>
    <x v="1"/>
    <n v="6"/>
    <n v="61.39"/>
    <n v="41.26"/>
    <n v="368.34000000000003"/>
    <n v="247.56"/>
    <n v="120.78000000000003"/>
  </r>
  <r>
    <x v="319"/>
    <x v="1"/>
    <x v="1"/>
    <x v="7"/>
    <x v="1"/>
    <n v="9"/>
    <n v="316.8"/>
    <n v="207.95"/>
    <n v="2851.2000000000003"/>
    <n v="1871.55"/>
    <n v="979.65000000000032"/>
  </r>
  <r>
    <x v="319"/>
    <x v="8"/>
    <x v="3"/>
    <x v="3"/>
    <x v="4"/>
    <n v="2"/>
    <n v="1125.6400000000001"/>
    <n v="775.57"/>
    <n v="2251.2800000000002"/>
    <n v="1551.14"/>
    <n v="700.1400000000001"/>
  </r>
  <r>
    <x v="319"/>
    <x v="9"/>
    <x v="0"/>
    <x v="5"/>
    <x v="1"/>
    <n v="10"/>
    <n v="73.47"/>
    <n v="40.630000000000003"/>
    <n v="734.7"/>
    <n v="406.3"/>
    <n v="328.40000000000003"/>
  </r>
  <r>
    <x v="320"/>
    <x v="3"/>
    <x v="0"/>
    <x v="0"/>
    <x v="0"/>
    <n v="6"/>
    <n v="58.66"/>
    <n v="33.96"/>
    <n v="351.96"/>
    <n v="203.76"/>
    <n v="148.19999999999999"/>
  </r>
  <r>
    <x v="320"/>
    <x v="5"/>
    <x v="2"/>
    <x v="6"/>
    <x v="3"/>
    <n v="10"/>
    <n v="628.6"/>
    <n v="448.14"/>
    <n v="6286"/>
    <n v="4481.3999999999996"/>
    <n v="1804.6000000000004"/>
  </r>
  <r>
    <x v="320"/>
    <x v="4"/>
    <x v="3"/>
    <x v="0"/>
    <x v="0"/>
    <n v="10"/>
    <n v="45.51"/>
    <n v="24.87"/>
    <n v="455.09999999999997"/>
    <n v="248.70000000000002"/>
    <n v="206.39999999999995"/>
  </r>
  <r>
    <x v="321"/>
    <x v="0"/>
    <x v="0"/>
    <x v="1"/>
    <x v="0"/>
    <n v="9"/>
    <n v="259.76"/>
    <n v="177.02"/>
    <n v="2337.84"/>
    <n v="1593.18"/>
    <n v="744.66000000000008"/>
  </r>
  <r>
    <x v="322"/>
    <x v="0"/>
    <x v="0"/>
    <x v="1"/>
    <x v="4"/>
    <n v="6"/>
    <n v="321.22000000000003"/>
    <n v="206.39"/>
    <n v="1927.3200000000002"/>
    <n v="1238.3399999999999"/>
    <n v="688.98000000000025"/>
  </r>
  <r>
    <x v="322"/>
    <x v="3"/>
    <x v="0"/>
    <x v="3"/>
    <x v="3"/>
    <n v="10"/>
    <n v="53.49"/>
    <n v="33.549999999999997"/>
    <n v="534.9"/>
    <n v="335.5"/>
    <n v="199.39999999999998"/>
  </r>
  <r>
    <x v="322"/>
    <x v="3"/>
    <x v="0"/>
    <x v="1"/>
    <x v="4"/>
    <n v="3"/>
    <n v="61.39"/>
    <n v="37.85"/>
    <n v="184.17000000000002"/>
    <n v="113.55000000000001"/>
    <n v="70.62"/>
  </r>
  <r>
    <x v="323"/>
    <x v="1"/>
    <x v="1"/>
    <x v="4"/>
    <x v="1"/>
    <n v="9"/>
    <n v="314.76"/>
    <n v="212.78"/>
    <n v="2832.84"/>
    <n v="1915.02"/>
    <n v="917.82000000000016"/>
  </r>
  <r>
    <x v="324"/>
    <x v="4"/>
    <x v="3"/>
    <x v="2"/>
    <x v="0"/>
    <n v="1"/>
    <n v="42.6"/>
    <n v="25.5"/>
    <n v="42.6"/>
    <n v="25.5"/>
    <n v="17.100000000000001"/>
  </r>
  <r>
    <x v="324"/>
    <x v="3"/>
    <x v="0"/>
    <x v="5"/>
    <x v="1"/>
    <n v="7"/>
    <n v="57.61"/>
    <n v="38"/>
    <n v="403.27"/>
    <n v="266"/>
    <n v="137.26999999999998"/>
  </r>
  <r>
    <x v="324"/>
    <x v="7"/>
    <x v="3"/>
    <x v="5"/>
    <x v="4"/>
    <n v="8"/>
    <n v="90.83"/>
    <n v="47.61"/>
    <n v="726.64"/>
    <n v="380.88"/>
    <n v="345.76"/>
  </r>
  <r>
    <x v="325"/>
    <x v="4"/>
    <x v="3"/>
    <x v="6"/>
    <x v="0"/>
    <n v="8"/>
    <n v="44.76"/>
    <n v="23.2"/>
    <n v="358.08"/>
    <n v="185.6"/>
    <n v="172.48"/>
  </r>
  <r>
    <x v="325"/>
    <x v="2"/>
    <x v="2"/>
    <x v="7"/>
    <x v="0"/>
    <n v="1"/>
    <n v="80.34"/>
    <n v="41.07"/>
    <n v="80.34"/>
    <n v="41.07"/>
    <n v="39.270000000000003"/>
  </r>
  <r>
    <x v="326"/>
    <x v="0"/>
    <x v="0"/>
    <x v="1"/>
    <x v="2"/>
    <n v="9"/>
    <n v="265.33"/>
    <n v="203.87"/>
    <n v="2387.9699999999998"/>
    <n v="1834.83"/>
    <n v="553.13999999999987"/>
  </r>
  <r>
    <x v="327"/>
    <x v="4"/>
    <x v="3"/>
    <x v="0"/>
    <x v="3"/>
    <n v="4"/>
    <n v="45.08"/>
    <n v="24.17"/>
    <n v="180.32"/>
    <n v="96.68"/>
    <n v="83.639999999999986"/>
  </r>
  <r>
    <x v="328"/>
    <x v="5"/>
    <x v="2"/>
    <x v="4"/>
    <x v="2"/>
    <n v="8"/>
    <n v="732.4"/>
    <n v="435.93"/>
    <n v="5859.2"/>
    <n v="3487.44"/>
    <n v="2371.7599999999998"/>
  </r>
  <r>
    <x v="329"/>
    <x v="8"/>
    <x v="3"/>
    <x v="0"/>
    <x v="1"/>
    <n v="3"/>
    <n v="1163.55"/>
    <n v="864.27"/>
    <n v="3490.6499999999996"/>
    <n v="2592.81"/>
    <n v="897.83999999999969"/>
  </r>
  <r>
    <x v="329"/>
    <x v="0"/>
    <x v="0"/>
    <x v="0"/>
    <x v="2"/>
    <n v="1"/>
    <n v="260.32"/>
    <n v="201.49"/>
    <n v="260.32"/>
    <n v="201.49"/>
    <n v="58.829999999999984"/>
  </r>
  <r>
    <x v="330"/>
    <x v="5"/>
    <x v="2"/>
    <x v="5"/>
    <x v="1"/>
    <n v="3"/>
    <n v="707.34"/>
    <n v="476.21"/>
    <n v="2122.02"/>
    <n v="1428.6299999999999"/>
    <n v="693.3900000000001"/>
  </r>
  <r>
    <x v="330"/>
    <x v="1"/>
    <x v="1"/>
    <x v="4"/>
    <x v="4"/>
    <n v="6"/>
    <n v="359.67"/>
    <n v="229.61"/>
    <n v="2158.02"/>
    <n v="1377.66"/>
    <n v="780.3599999999999"/>
  </r>
  <r>
    <x v="330"/>
    <x v="6"/>
    <x v="1"/>
    <x v="0"/>
    <x v="1"/>
    <n v="2"/>
    <n v="499.88"/>
    <n v="312.42"/>
    <n v="999.76"/>
    <n v="624.84"/>
    <n v="374.91999999999996"/>
  </r>
  <r>
    <x v="331"/>
    <x v="7"/>
    <x v="3"/>
    <x v="4"/>
    <x v="3"/>
    <n v="9"/>
    <n v="78.14"/>
    <n v="52.44"/>
    <n v="703.26"/>
    <n v="471.96"/>
    <n v="231.3"/>
  </r>
  <r>
    <x v="332"/>
    <x v="1"/>
    <x v="1"/>
    <x v="4"/>
    <x v="3"/>
    <n v="6"/>
    <n v="277.64999999999998"/>
    <n v="224.29"/>
    <n v="1665.8999999999999"/>
    <n v="1345.74"/>
    <n v="320.15999999999985"/>
  </r>
  <r>
    <x v="333"/>
    <x v="6"/>
    <x v="1"/>
    <x v="3"/>
    <x v="3"/>
    <n v="8"/>
    <n v="389.97"/>
    <n v="280.24"/>
    <n v="3119.76"/>
    <n v="2241.92"/>
    <n v="877.84000000000015"/>
  </r>
  <r>
    <x v="333"/>
    <x v="8"/>
    <x v="3"/>
    <x v="1"/>
    <x v="1"/>
    <n v="4"/>
    <n v="1100.24"/>
    <n v="822.84"/>
    <n v="4400.96"/>
    <n v="3291.36"/>
    <n v="1109.5999999999999"/>
  </r>
  <r>
    <x v="334"/>
    <x v="1"/>
    <x v="1"/>
    <x v="6"/>
    <x v="2"/>
    <n v="6"/>
    <n v="361.43"/>
    <n v="210.72"/>
    <n v="2168.58"/>
    <n v="1264.32"/>
    <n v="904.26"/>
  </r>
  <r>
    <x v="335"/>
    <x v="2"/>
    <x v="2"/>
    <x v="5"/>
    <x v="3"/>
    <n v="3"/>
    <n v="77.08"/>
    <n v="46.47"/>
    <n v="231.24"/>
    <n v="139.41"/>
    <n v="91.830000000000013"/>
  </r>
  <r>
    <x v="336"/>
    <x v="4"/>
    <x v="3"/>
    <x v="5"/>
    <x v="1"/>
    <n v="8"/>
    <n v="43.1"/>
    <n v="23.06"/>
    <n v="344.8"/>
    <n v="184.48"/>
    <n v="160.32000000000002"/>
  </r>
  <r>
    <x v="337"/>
    <x v="1"/>
    <x v="1"/>
    <x v="5"/>
    <x v="3"/>
    <n v="3"/>
    <n v="280.56"/>
    <n v="218.11"/>
    <n v="841.68000000000006"/>
    <n v="654.33000000000004"/>
    <n v="187.35000000000002"/>
  </r>
  <r>
    <x v="337"/>
    <x v="0"/>
    <x v="0"/>
    <x v="3"/>
    <x v="0"/>
    <n v="1"/>
    <n v="267.44"/>
    <n v="171.6"/>
    <n v="267.44"/>
    <n v="171.6"/>
    <n v="95.84"/>
  </r>
  <r>
    <x v="338"/>
    <x v="3"/>
    <x v="0"/>
    <x v="7"/>
    <x v="4"/>
    <n v="3"/>
    <n v="56.67"/>
    <n v="38.380000000000003"/>
    <n v="170.01"/>
    <n v="115.14000000000001"/>
    <n v="54.869999999999976"/>
  </r>
  <r>
    <x v="339"/>
    <x v="2"/>
    <x v="2"/>
    <x v="4"/>
    <x v="2"/>
    <n v="2"/>
    <n v="72.05"/>
    <n v="47.87"/>
    <n v="144.1"/>
    <n v="95.74"/>
    <n v="48.36"/>
  </r>
  <r>
    <x v="339"/>
    <x v="4"/>
    <x v="3"/>
    <x v="1"/>
    <x v="0"/>
    <n v="4"/>
    <n v="39.17"/>
    <n v="25.83"/>
    <n v="156.68"/>
    <n v="103.32"/>
    <n v="53.360000000000014"/>
  </r>
  <r>
    <x v="340"/>
    <x v="2"/>
    <x v="2"/>
    <x v="3"/>
    <x v="3"/>
    <n v="2"/>
    <n v="85.89"/>
    <n v="46.32"/>
    <n v="171.78"/>
    <n v="92.64"/>
    <n v="79.14"/>
  </r>
  <r>
    <x v="340"/>
    <x v="1"/>
    <x v="1"/>
    <x v="2"/>
    <x v="3"/>
    <n v="7"/>
    <n v="359.19"/>
    <n v="196.14"/>
    <n v="2514.33"/>
    <n v="1372.98"/>
    <n v="1141.3499999999999"/>
  </r>
  <r>
    <x v="340"/>
    <x v="6"/>
    <x v="1"/>
    <x v="4"/>
    <x v="4"/>
    <n v="7"/>
    <n v="478.87"/>
    <n v="336.57"/>
    <n v="3352.09"/>
    <n v="2355.9899999999998"/>
    <n v="996.10000000000036"/>
  </r>
  <r>
    <x v="341"/>
    <x v="3"/>
    <x v="0"/>
    <x v="5"/>
    <x v="4"/>
    <n v="7"/>
    <n v="49.89"/>
    <n v="37.81"/>
    <n v="349.23"/>
    <n v="264.67"/>
    <n v="84.56"/>
  </r>
  <r>
    <x v="341"/>
    <x v="2"/>
    <x v="2"/>
    <x v="1"/>
    <x v="0"/>
    <n v="9"/>
    <n v="86.21"/>
    <n v="43.71"/>
    <n v="775.89"/>
    <n v="393.39"/>
    <n v="382.5"/>
  </r>
  <r>
    <x v="341"/>
    <x v="7"/>
    <x v="3"/>
    <x v="6"/>
    <x v="2"/>
    <n v="4"/>
    <n v="78.37"/>
    <n v="49.14"/>
    <n v="313.48"/>
    <n v="196.56"/>
    <n v="116.92000000000002"/>
  </r>
  <r>
    <x v="342"/>
    <x v="6"/>
    <x v="1"/>
    <x v="0"/>
    <x v="4"/>
    <n v="7"/>
    <n v="505.85"/>
    <n v="330.76"/>
    <n v="3540.9500000000003"/>
    <n v="2315.3199999999997"/>
    <n v="1225.6300000000006"/>
  </r>
  <r>
    <x v="342"/>
    <x v="5"/>
    <x v="2"/>
    <x v="7"/>
    <x v="2"/>
    <n v="7"/>
    <n v="681.24"/>
    <n v="469.49"/>
    <n v="4768.68"/>
    <n v="3286.4300000000003"/>
    <n v="1482.25"/>
  </r>
  <r>
    <x v="342"/>
    <x v="5"/>
    <x v="2"/>
    <x v="0"/>
    <x v="4"/>
    <n v="8"/>
    <n v="697.31"/>
    <n v="517.80999999999995"/>
    <n v="5578.48"/>
    <n v="4142.4799999999996"/>
    <n v="1436"/>
  </r>
  <r>
    <x v="342"/>
    <x v="9"/>
    <x v="0"/>
    <x v="0"/>
    <x v="1"/>
    <n v="1"/>
    <n v="67.900000000000006"/>
    <n v="44.88"/>
    <n v="67.900000000000006"/>
    <n v="44.88"/>
    <n v="23.020000000000003"/>
  </r>
  <r>
    <x v="343"/>
    <x v="4"/>
    <x v="3"/>
    <x v="0"/>
    <x v="3"/>
    <n v="9"/>
    <n v="46.9"/>
    <n v="24.62"/>
    <n v="422.09999999999997"/>
    <n v="221.58"/>
    <n v="200.51999999999995"/>
  </r>
  <r>
    <x v="343"/>
    <x v="5"/>
    <x v="2"/>
    <x v="7"/>
    <x v="1"/>
    <n v="7"/>
    <n v="608.79"/>
    <n v="447.96"/>
    <n v="4261.53"/>
    <n v="3135.72"/>
    <n v="1125.81"/>
  </r>
  <r>
    <x v="344"/>
    <x v="2"/>
    <x v="2"/>
    <x v="4"/>
    <x v="3"/>
    <n v="8"/>
    <n v="77.87"/>
    <n v="48.45"/>
    <n v="622.96"/>
    <n v="387.6"/>
    <n v="235.36"/>
  </r>
  <r>
    <x v="344"/>
    <x v="3"/>
    <x v="0"/>
    <x v="2"/>
    <x v="4"/>
    <n v="5"/>
    <n v="48.27"/>
    <n v="38.020000000000003"/>
    <n v="241.35000000000002"/>
    <n v="190.10000000000002"/>
    <n v="51.25"/>
  </r>
  <r>
    <x v="345"/>
    <x v="5"/>
    <x v="2"/>
    <x v="2"/>
    <x v="4"/>
    <n v="3"/>
    <n v="753.47"/>
    <n v="439.2"/>
    <n v="2260.41"/>
    <n v="1317.6"/>
    <n v="942.81"/>
  </r>
  <r>
    <x v="346"/>
    <x v="2"/>
    <x v="2"/>
    <x v="3"/>
    <x v="3"/>
    <n v="8"/>
    <n v="64.739999999999995"/>
    <n v="48.2"/>
    <n v="517.91999999999996"/>
    <n v="385.6"/>
    <n v="132.31999999999994"/>
  </r>
  <r>
    <x v="347"/>
    <x v="7"/>
    <x v="3"/>
    <x v="6"/>
    <x v="4"/>
    <n v="4"/>
    <n v="81.89"/>
    <n v="48.84"/>
    <n v="327.56"/>
    <n v="195.36"/>
    <n v="132.19999999999999"/>
  </r>
  <r>
    <x v="347"/>
    <x v="8"/>
    <x v="3"/>
    <x v="7"/>
    <x v="1"/>
    <n v="4"/>
    <n v="1309.4100000000001"/>
    <n v="905.33"/>
    <n v="5237.6400000000003"/>
    <n v="3621.32"/>
    <n v="1616.3200000000002"/>
  </r>
  <r>
    <x v="348"/>
    <x v="9"/>
    <x v="0"/>
    <x v="4"/>
    <x v="1"/>
    <n v="6"/>
    <n v="72.5"/>
    <n v="43.11"/>
    <n v="435"/>
    <n v="258.65999999999997"/>
    <n v="176.34000000000003"/>
  </r>
  <r>
    <x v="348"/>
    <x v="7"/>
    <x v="3"/>
    <x v="2"/>
    <x v="4"/>
    <n v="5"/>
    <n v="85.29"/>
    <n v="55.72"/>
    <n v="426.45000000000005"/>
    <n v="278.60000000000002"/>
    <n v="147.85000000000002"/>
  </r>
  <r>
    <x v="349"/>
    <x v="1"/>
    <x v="1"/>
    <x v="4"/>
    <x v="2"/>
    <n v="5"/>
    <n v="329.07"/>
    <n v="204.99"/>
    <n v="1645.35"/>
    <n v="1024.95"/>
    <n v="620.39999999999986"/>
  </r>
  <r>
    <x v="349"/>
    <x v="9"/>
    <x v="0"/>
    <x v="7"/>
    <x v="0"/>
    <n v="8"/>
    <n v="64.88"/>
    <n v="44.39"/>
    <n v="519.04"/>
    <n v="355.12"/>
    <n v="163.91999999999996"/>
  </r>
  <r>
    <x v="350"/>
    <x v="3"/>
    <x v="0"/>
    <x v="0"/>
    <x v="2"/>
    <n v="1"/>
    <n v="54.73"/>
    <n v="35.909999999999997"/>
    <n v="54.73"/>
    <n v="35.909999999999997"/>
    <n v="18.82"/>
  </r>
  <r>
    <x v="351"/>
    <x v="0"/>
    <x v="0"/>
    <x v="7"/>
    <x v="4"/>
    <n v="4"/>
    <n v="275.33"/>
    <n v="208.41"/>
    <n v="1101.32"/>
    <n v="833.64"/>
    <n v="267.67999999999995"/>
  </r>
  <r>
    <x v="352"/>
    <x v="9"/>
    <x v="0"/>
    <x v="5"/>
    <x v="1"/>
    <n v="6"/>
    <n v="61.66"/>
    <n v="41.87"/>
    <n v="369.96"/>
    <n v="251.21999999999997"/>
    <n v="118.74000000000001"/>
  </r>
  <r>
    <x v="352"/>
    <x v="2"/>
    <x v="2"/>
    <x v="7"/>
    <x v="1"/>
    <n v="2"/>
    <n v="74.7"/>
    <n v="48.85"/>
    <n v="149.4"/>
    <n v="97.7"/>
    <n v="51.7"/>
  </r>
  <r>
    <x v="353"/>
    <x v="7"/>
    <x v="3"/>
    <x v="0"/>
    <x v="2"/>
    <n v="5"/>
    <n v="93.55"/>
    <n v="47.48"/>
    <n v="467.75"/>
    <n v="237.39999999999998"/>
    <n v="230.35000000000002"/>
  </r>
  <r>
    <x v="353"/>
    <x v="4"/>
    <x v="3"/>
    <x v="1"/>
    <x v="0"/>
    <n v="8"/>
    <n v="40.75"/>
    <n v="25.5"/>
    <n v="326"/>
    <n v="204"/>
    <n v="122"/>
  </r>
  <r>
    <x v="354"/>
    <x v="4"/>
    <x v="3"/>
    <x v="7"/>
    <x v="0"/>
    <n v="1"/>
    <n v="46.56"/>
    <n v="26.01"/>
    <n v="46.56"/>
    <n v="26.01"/>
    <n v="20.55"/>
  </r>
  <r>
    <x v="355"/>
    <x v="1"/>
    <x v="1"/>
    <x v="7"/>
    <x v="2"/>
    <n v="5"/>
    <n v="279.27"/>
    <n v="201.81"/>
    <n v="1396.35"/>
    <n v="1009.05"/>
    <n v="387.29999999999995"/>
  </r>
  <r>
    <x v="355"/>
    <x v="6"/>
    <x v="1"/>
    <x v="6"/>
    <x v="1"/>
    <n v="7"/>
    <n v="472.26"/>
    <n v="315.5"/>
    <n v="3305.8199999999997"/>
    <n v="2208.5"/>
    <n v="1097.3199999999997"/>
  </r>
  <r>
    <x v="356"/>
    <x v="5"/>
    <x v="2"/>
    <x v="5"/>
    <x v="1"/>
    <n v="2"/>
    <n v="716.5"/>
    <n v="475.6"/>
    <n v="1433"/>
    <n v="951.2"/>
    <n v="481.79999999999995"/>
  </r>
  <r>
    <x v="357"/>
    <x v="3"/>
    <x v="0"/>
    <x v="5"/>
    <x v="4"/>
    <n v="4"/>
    <n v="51.32"/>
    <n v="36.85"/>
    <n v="205.28"/>
    <n v="147.4"/>
    <n v="57.879999999999995"/>
  </r>
  <r>
    <x v="357"/>
    <x v="7"/>
    <x v="3"/>
    <x v="1"/>
    <x v="1"/>
    <n v="1"/>
    <n v="77.239999999999995"/>
    <n v="50.09"/>
    <n v="77.239999999999995"/>
    <n v="50.09"/>
    <n v="27.149999999999991"/>
  </r>
  <r>
    <x v="358"/>
    <x v="7"/>
    <x v="3"/>
    <x v="5"/>
    <x v="3"/>
    <n v="4"/>
    <n v="78.25"/>
    <n v="53.23"/>
    <n v="313"/>
    <n v="212.92"/>
    <n v="100.08000000000001"/>
  </r>
  <r>
    <x v="358"/>
    <x v="4"/>
    <x v="3"/>
    <x v="4"/>
    <x v="3"/>
    <n v="10"/>
    <n v="47.55"/>
    <n v="22.98"/>
    <n v="475.5"/>
    <n v="229.8"/>
    <n v="245.7"/>
  </r>
  <r>
    <x v="359"/>
    <x v="3"/>
    <x v="0"/>
    <x v="3"/>
    <x v="4"/>
    <n v="5"/>
    <n v="59.77"/>
    <n v="35.67"/>
    <n v="298.85000000000002"/>
    <n v="178.35000000000002"/>
    <n v="120.5"/>
  </r>
  <r>
    <x v="360"/>
    <x v="2"/>
    <x v="2"/>
    <x v="7"/>
    <x v="1"/>
    <n v="1"/>
    <n v="82.16"/>
    <n v="48.23"/>
    <n v="82.16"/>
    <n v="48.23"/>
    <n v="33.93"/>
  </r>
  <r>
    <x v="360"/>
    <x v="0"/>
    <x v="0"/>
    <x v="6"/>
    <x v="1"/>
    <n v="9"/>
    <n v="295.07"/>
    <n v="201.93"/>
    <n v="2655.63"/>
    <n v="1817.3700000000001"/>
    <n v="838.26"/>
  </r>
  <r>
    <x v="360"/>
    <x v="7"/>
    <x v="3"/>
    <x v="1"/>
    <x v="2"/>
    <n v="6"/>
    <n v="98.72"/>
    <n v="48.24"/>
    <n v="592.31999999999994"/>
    <n v="289.44"/>
    <n v="302.87999999999994"/>
  </r>
  <r>
    <x v="361"/>
    <x v="8"/>
    <x v="3"/>
    <x v="6"/>
    <x v="3"/>
    <n v="7"/>
    <n v="1335.09"/>
    <n v="793.58"/>
    <n v="9345.6299999999992"/>
    <n v="5555.06"/>
    <n v="3790.5699999999988"/>
  </r>
  <r>
    <x v="361"/>
    <x v="2"/>
    <x v="2"/>
    <x v="4"/>
    <x v="3"/>
    <n v="6"/>
    <n v="78.900000000000006"/>
    <n v="45.49"/>
    <n v="473.40000000000003"/>
    <n v="272.94"/>
    <n v="200.46000000000004"/>
  </r>
  <r>
    <x v="361"/>
    <x v="5"/>
    <x v="2"/>
    <x v="6"/>
    <x v="2"/>
    <n v="7"/>
    <n v="670.78"/>
    <n v="468.43"/>
    <n v="4695.46"/>
    <n v="3279.01"/>
    <n v="1416.4499999999998"/>
  </r>
  <r>
    <x v="362"/>
    <x v="9"/>
    <x v="0"/>
    <x v="3"/>
    <x v="3"/>
    <n v="3"/>
    <n v="64.64"/>
    <n v="45.66"/>
    <n v="193.92000000000002"/>
    <n v="136.97999999999999"/>
    <n v="56.940000000000026"/>
  </r>
  <r>
    <x v="362"/>
    <x v="3"/>
    <x v="0"/>
    <x v="6"/>
    <x v="3"/>
    <n v="9"/>
    <n v="50.4"/>
    <n v="32.520000000000003"/>
    <n v="453.59999999999997"/>
    <n v="292.68"/>
    <n v="160.91999999999996"/>
  </r>
  <r>
    <x v="363"/>
    <x v="0"/>
    <x v="0"/>
    <x v="2"/>
    <x v="0"/>
    <n v="5"/>
    <n v="272.69"/>
    <n v="197.42"/>
    <n v="1363.45"/>
    <n v="987.09999999999991"/>
    <n v="376.35000000000014"/>
  </r>
  <r>
    <x v="363"/>
    <x v="2"/>
    <x v="2"/>
    <x v="3"/>
    <x v="4"/>
    <n v="10"/>
    <n v="82.95"/>
    <n v="42.06"/>
    <n v="829.5"/>
    <n v="420.6"/>
    <n v="408.9"/>
  </r>
  <r>
    <x v="363"/>
    <x v="7"/>
    <x v="3"/>
    <x v="3"/>
    <x v="0"/>
    <n v="1"/>
    <n v="100.88"/>
    <n v="49.64"/>
    <n v="100.88"/>
    <n v="49.64"/>
    <n v="51.239999999999995"/>
  </r>
  <r>
    <x v="363"/>
    <x v="0"/>
    <x v="0"/>
    <x v="5"/>
    <x v="3"/>
    <n v="1"/>
    <n v="294.14"/>
    <n v="205.59"/>
    <n v="294.14"/>
    <n v="205.59"/>
    <n v="88.549999999999983"/>
  </r>
  <r>
    <x v="363"/>
    <x v="8"/>
    <x v="3"/>
    <x v="1"/>
    <x v="0"/>
    <n v="2"/>
    <n v="1373.68"/>
    <n v="840.07"/>
    <n v="2747.36"/>
    <n v="1680.14"/>
    <n v="1067.22"/>
  </r>
  <r>
    <x v="364"/>
    <x v="8"/>
    <x v="3"/>
    <x v="3"/>
    <x v="2"/>
    <n v="4"/>
    <n v="1062.21"/>
    <n v="837.34"/>
    <n v="4248.84"/>
    <n v="3349.36"/>
    <n v="899.48"/>
  </r>
  <r>
    <x v="365"/>
    <x v="3"/>
    <x v="0"/>
    <x v="2"/>
    <x v="4"/>
    <n v="2"/>
    <n v="62.49"/>
    <n v="37.08"/>
    <n v="124.98"/>
    <n v="74.16"/>
    <n v="50.820000000000007"/>
  </r>
  <r>
    <x v="365"/>
    <x v="3"/>
    <x v="0"/>
    <x v="6"/>
    <x v="0"/>
    <n v="5"/>
    <n v="58.62"/>
    <n v="33.29"/>
    <n v="293.09999999999997"/>
    <n v="166.45"/>
    <n v="126.64999999999998"/>
  </r>
  <r>
    <x v="366"/>
    <x v="8"/>
    <x v="3"/>
    <x v="4"/>
    <x v="1"/>
    <n v="2"/>
    <n v="1307.5999999999999"/>
    <n v="813.36"/>
    <n v="2615.1999999999998"/>
    <n v="1626.72"/>
    <n v="988.47999999999979"/>
  </r>
  <r>
    <x v="367"/>
    <x v="1"/>
    <x v="1"/>
    <x v="7"/>
    <x v="4"/>
    <n v="7"/>
    <n v="351.12"/>
    <n v="222.17"/>
    <n v="2457.84"/>
    <n v="1555.1899999999998"/>
    <n v="902.65000000000032"/>
  </r>
  <r>
    <x v="368"/>
    <x v="3"/>
    <x v="0"/>
    <x v="7"/>
    <x v="2"/>
    <n v="7"/>
    <n v="59.64"/>
    <n v="33.22"/>
    <n v="417.48"/>
    <n v="232.54"/>
    <n v="184.94000000000003"/>
  </r>
  <r>
    <x v="369"/>
    <x v="4"/>
    <x v="3"/>
    <x v="5"/>
    <x v="4"/>
    <n v="9"/>
    <n v="44.71"/>
    <n v="24.93"/>
    <n v="402.39"/>
    <n v="224.37"/>
    <n v="178.01999999999998"/>
  </r>
  <r>
    <x v="370"/>
    <x v="3"/>
    <x v="0"/>
    <x v="0"/>
    <x v="4"/>
    <n v="9"/>
    <n v="47.7"/>
    <n v="33.56"/>
    <n v="429.3"/>
    <n v="302.04000000000002"/>
    <n v="127.25999999999999"/>
  </r>
  <r>
    <x v="371"/>
    <x v="1"/>
    <x v="1"/>
    <x v="1"/>
    <x v="2"/>
    <n v="1"/>
    <n v="316.32"/>
    <n v="210.59"/>
    <n v="316.32"/>
    <n v="210.59"/>
    <n v="105.72999999999999"/>
  </r>
  <r>
    <x v="372"/>
    <x v="5"/>
    <x v="2"/>
    <x v="6"/>
    <x v="4"/>
    <n v="8"/>
    <n v="715.13"/>
    <n v="482.22"/>
    <n v="5721.04"/>
    <n v="3857.76"/>
    <n v="1863.2799999999997"/>
  </r>
  <r>
    <x v="372"/>
    <x v="2"/>
    <x v="2"/>
    <x v="0"/>
    <x v="2"/>
    <n v="8"/>
    <n v="76.180000000000007"/>
    <n v="45.72"/>
    <n v="609.44000000000005"/>
    <n v="365.76"/>
    <n v="243.68000000000006"/>
  </r>
  <r>
    <x v="373"/>
    <x v="4"/>
    <x v="3"/>
    <x v="7"/>
    <x v="2"/>
    <n v="7"/>
    <n v="50.2"/>
    <n v="23.14"/>
    <n v="351.40000000000003"/>
    <n v="161.98000000000002"/>
    <n v="189.42000000000002"/>
  </r>
  <r>
    <x v="374"/>
    <x v="3"/>
    <x v="0"/>
    <x v="7"/>
    <x v="1"/>
    <n v="10"/>
    <n v="60.71"/>
    <n v="32.799999999999997"/>
    <n v="607.1"/>
    <n v="328"/>
    <n v="279.10000000000002"/>
  </r>
  <r>
    <x v="375"/>
    <x v="6"/>
    <x v="1"/>
    <x v="1"/>
    <x v="1"/>
    <n v="5"/>
    <n v="473.14"/>
    <n v="311.97000000000003"/>
    <n v="2365.6999999999998"/>
    <n v="1559.8500000000001"/>
    <n v="805.84999999999968"/>
  </r>
  <r>
    <x v="376"/>
    <x v="4"/>
    <x v="3"/>
    <x v="0"/>
    <x v="0"/>
    <n v="4"/>
    <n v="45.8"/>
    <n v="24.05"/>
    <n v="183.2"/>
    <n v="96.2"/>
    <n v="86.999999999999986"/>
  </r>
  <r>
    <x v="376"/>
    <x v="2"/>
    <x v="2"/>
    <x v="1"/>
    <x v="3"/>
    <n v="8"/>
    <n v="73.48"/>
    <n v="48.86"/>
    <n v="587.84"/>
    <n v="390.88"/>
    <n v="196.96000000000004"/>
  </r>
  <r>
    <x v="377"/>
    <x v="0"/>
    <x v="0"/>
    <x v="7"/>
    <x v="3"/>
    <n v="1"/>
    <n v="258.83999999999997"/>
    <n v="207.12"/>
    <n v="258.83999999999997"/>
    <n v="207.12"/>
    <n v="51.71999999999997"/>
  </r>
  <r>
    <x v="378"/>
    <x v="5"/>
    <x v="2"/>
    <x v="6"/>
    <x v="3"/>
    <n v="5"/>
    <n v="758.76"/>
    <n v="483.18"/>
    <n v="3793.8"/>
    <n v="2415.9"/>
    <n v="1377.9"/>
  </r>
  <r>
    <x v="379"/>
    <x v="6"/>
    <x v="1"/>
    <x v="0"/>
    <x v="1"/>
    <n v="2"/>
    <n v="451.31"/>
    <n v="304.18"/>
    <n v="902.62"/>
    <n v="608.36"/>
    <n v="294.26"/>
  </r>
  <r>
    <x v="380"/>
    <x v="4"/>
    <x v="3"/>
    <x v="7"/>
    <x v="1"/>
    <n v="8"/>
    <n v="50.8"/>
    <n v="23.05"/>
    <n v="406.4"/>
    <n v="184.4"/>
    <n v="221.99999999999997"/>
  </r>
  <r>
    <x v="381"/>
    <x v="2"/>
    <x v="2"/>
    <x v="7"/>
    <x v="4"/>
    <n v="8"/>
    <n v="82.52"/>
    <n v="48.54"/>
    <n v="660.16"/>
    <n v="388.32"/>
    <n v="271.83999999999997"/>
  </r>
  <r>
    <x v="381"/>
    <x v="9"/>
    <x v="0"/>
    <x v="5"/>
    <x v="1"/>
    <n v="5"/>
    <n v="60.35"/>
    <n v="39.659999999999997"/>
    <n v="301.75"/>
    <n v="198.29999999999998"/>
    <n v="103.45000000000002"/>
  </r>
  <r>
    <x v="381"/>
    <x v="7"/>
    <x v="3"/>
    <x v="4"/>
    <x v="3"/>
    <n v="10"/>
    <n v="83.46"/>
    <n v="53.5"/>
    <n v="834.59999999999991"/>
    <n v="535"/>
    <n v="299.59999999999991"/>
  </r>
  <r>
    <x v="382"/>
    <x v="3"/>
    <x v="0"/>
    <x v="3"/>
    <x v="3"/>
    <n v="4"/>
    <n v="51.34"/>
    <n v="31.7"/>
    <n v="205.36"/>
    <n v="126.8"/>
    <n v="78.560000000000016"/>
  </r>
  <r>
    <x v="383"/>
    <x v="7"/>
    <x v="3"/>
    <x v="1"/>
    <x v="3"/>
    <n v="3"/>
    <n v="84.66"/>
    <n v="49.7"/>
    <n v="253.98"/>
    <n v="149.10000000000002"/>
    <n v="104.87999999999997"/>
  </r>
  <r>
    <x v="384"/>
    <x v="2"/>
    <x v="2"/>
    <x v="7"/>
    <x v="0"/>
    <n v="6"/>
    <n v="72.45"/>
    <n v="40.72"/>
    <n v="434.70000000000005"/>
    <n v="244.32"/>
    <n v="190.38000000000005"/>
  </r>
  <r>
    <x v="385"/>
    <x v="5"/>
    <x v="2"/>
    <x v="4"/>
    <x v="0"/>
    <n v="4"/>
    <n v="736.05"/>
    <n v="433.35"/>
    <n v="2944.2"/>
    <n v="1733.4"/>
    <n v="1210.7999999999997"/>
  </r>
  <r>
    <x v="385"/>
    <x v="3"/>
    <x v="0"/>
    <x v="6"/>
    <x v="0"/>
    <n v="9"/>
    <n v="47.83"/>
    <n v="32.19"/>
    <n v="430.46999999999997"/>
    <n v="289.70999999999998"/>
    <n v="140.76"/>
  </r>
  <r>
    <x v="386"/>
    <x v="5"/>
    <x v="2"/>
    <x v="2"/>
    <x v="3"/>
    <n v="7"/>
    <n v="728.52"/>
    <n v="525.53"/>
    <n v="5099.6399999999994"/>
    <n v="3678.71"/>
    <n v="1420.9299999999994"/>
  </r>
  <r>
    <x v="386"/>
    <x v="3"/>
    <x v="0"/>
    <x v="4"/>
    <x v="0"/>
    <n v="4"/>
    <n v="47.41"/>
    <n v="32.44"/>
    <n v="189.64"/>
    <n v="129.76"/>
    <n v="59.879999999999995"/>
  </r>
  <r>
    <x v="386"/>
    <x v="2"/>
    <x v="2"/>
    <x v="5"/>
    <x v="1"/>
    <n v="4"/>
    <n v="67.05"/>
    <n v="47.14"/>
    <n v="268.2"/>
    <n v="188.56"/>
    <n v="79.639999999999986"/>
  </r>
  <r>
    <x v="387"/>
    <x v="9"/>
    <x v="0"/>
    <x v="3"/>
    <x v="2"/>
    <n v="3"/>
    <n v="59.93"/>
    <n v="40.72"/>
    <n v="179.79"/>
    <n v="122.16"/>
    <n v="57.629999999999995"/>
  </r>
  <r>
    <x v="387"/>
    <x v="0"/>
    <x v="0"/>
    <x v="6"/>
    <x v="0"/>
    <n v="10"/>
    <n v="269.39999999999998"/>
    <n v="197.8"/>
    <n v="2694"/>
    <n v="1978"/>
    <n v="716"/>
  </r>
  <r>
    <x v="388"/>
    <x v="1"/>
    <x v="1"/>
    <x v="3"/>
    <x v="2"/>
    <n v="6"/>
    <n v="342.08"/>
    <n v="197.32"/>
    <n v="2052.48"/>
    <n v="1183.92"/>
    <n v="868.56"/>
  </r>
  <r>
    <x v="388"/>
    <x v="8"/>
    <x v="3"/>
    <x v="3"/>
    <x v="3"/>
    <n v="1"/>
    <n v="1061.05"/>
    <n v="933.83"/>
    <n v="1061.05"/>
    <n v="933.83"/>
    <n v="127.21999999999991"/>
  </r>
  <r>
    <x v="389"/>
    <x v="7"/>
    <x v="3"/>
    <x v="5"/>
    <x v="4"/>
    <n v="1"/>
    <n v="88.47"/>
    <n v="55.11"/>
    <n v="88.47"/>
    <n v="55.11"/>
    <n v="33.36"/>
  </r>
  <r>
    <x v="390"/>
    <x v="7"/>
    <x v="3"/>
    <x v="5"/>
    <x v="1"/>
    <n v="3"/>
    <n v="84.39"/>
    <n v="56.49"/>
    <n v="253.17000000000002"/>
    <n v="169.47"/>
    <n v="83.700000000000017"/>
  </r>
  <r>
    <x v="391"/>
    <x v="2"/>
    <x v="2"/>
    <x v="5"/>
    <x v="3"/>
    <n v="4"/>
    <n v="82.3"/>
    <n v="46.97"/>
    <n v="329.2"/>
    <n v="187.88"/>
    <n v="141.32"/>
  </r>
  <r>
    <x v="391"/>
    <x v="0"/>
    <x v="0"/>
    <x v="1"/>
    <x v="2"/>
    <n v="5"/>
    <n v="315.61"/>
    <n v="189.51"/>
    <n v="1578.0500000000002"/>
    <n v="947.55"/>
    <n v="630.50000000000023"/>
  </r>
  <r>
    <x v="392"/>
    <x v="2"/>
    <x v="2"/>
    <x v="4"/>
    <x v="1"/>
    <n v="10"/>
    <n v="84.01"/>
    <n v="42.61"/>
    <n v="840.1"/>
    <n v="426.1"/>
    <n v="414"/>
  </r>
  <r>
    <x v="393"/>
    <x v="7"/>
    <x v="3"/>
    <x v="0"/>
    <x v="4"/>
    <n v="6"/>
    <n v="93.13"/>
    <n v="55.53"/>
    <n v="558.78"/>
    <n v="333.18"/>
    <n v="225.59999999999997"/>
  </r>
  <r>
    <x v="393"/>
    <x v="9"/>
    <x v="0"/>
    <x v="5"/>
    <x v="2"/>
    <n v="2"/>
    <n v="70.150000000000006"/>
    <n v="42.6"/>
    <n v="140.30000000000001"/>
    <n v="85.2"/>
    <n v="55.100000000000009"/>
  </r>
  <r>
    <x v="394"/>
    <x v="0"/>
    <x v="0"/>
    <x v="4"/>
    <x v="3"/>
    <n v="6"/>
    <n v="295.49"/>
    <n v="189.41"/>
    <n v="1772.94"/>
    <n v="1136.46"/>
    <n v="636.48"/>
  </r>
  <r>
    <x v="395"/>
    <x v="2"/>
    <x v="2"/>
    <x v="5"/>
    <x v="2"/>
    <n v="4"/>
    <n v="84.35"/>
    <n v="47.78"/>
    <n v="337.4"/>
    <n v="191.12"/>
    <n v="146.27999999999997"/>
  </r>
  <r>
    <x v="395"/>
    <x v="9"/>
    <x v="0"/>
    <x v="4"/>
    <x v="1"/>
    <n v="7"/>
    <n v="74.39"/>
    <n v="39.17"/>
    <n v="520.73"/>
    <n v="274.19"/>
    <n v="246.54000000000002"/>
  </r>
  <r>
    <x v="396"/>
    <x v="2"/>
    <x v="2"/>
    <x v="6"/>
    <x v="2"/>
    <n v="7"/>
    <n v="75.36"/>
    <n v="42.51"/>
    <n v="527.52"/>
    <n v="297.57"/>
    <n v="229.95"/>
  </r>
  <r>
    <x v="397"/>
    <x v="8"/>
    <x v="3"/>
    <x v="4"/>
    <x v="3"/>
    <n v="4"/>
    <n v="1227.05"/>
    <n v="804.54"/>
    <n v="4908.2"/>
    <n v="3218.16"/>
    <n v="1690.04"/>
  </r>
  <r>
    <x v="398"/>
    <x v="0"/>
    <x v="0"/>
    <x v="2"/>
    <x v="0"/>
    <n v="6"/>
    <n v="275.04000000000002"/>
    <n v="181.5"/>
    <n v="1650.2400000000002"/>
    <n v="1089"/>
    <n v="561.24000000000024"/>
  </r>
  <r>
    <x v="398"/>
    <x v="5"/>
    <x v="2"/>
    <x v="3"/>
    <x v="2"/>
    <n v="4"/>
    <n v="757.47"/>
    <n v="517.1"/>
    <n v="3029.88"/>
    <n v="2068.4"/>
    <n v="961.48"/>
  </r>
  <r>
    <x v="398"/>
    <x v="8"/>
    <x v="3"/>
    <x v="4"/>
    <x v="4"/>
    <n v="7"/>
    <n v="1032.07"/>
    <n v="821.06"/>
    <n v="7224.49"/>
    <n v="5747.42"/>
    <n v="1477.0699999999997"/>
  </r>
  <r>
    <x v="399"/>
    <x v="4"/>
    <x v="3"/>
    <x v="1"/>
    <x v="1"/>
    <n v="9"/>
    <n v="48.83"/>
    <n v="26.46"/>
    <n v="439.46999999999997"/>
    <n v="238.14000000000001"/>
    <n v="201.32999999999996"/>
  </r>
  <r>
    <x v="399"/>
    <x v="7"/>
    <x v="3"/>
    <x v="0"/>
    <x v="3"/>
    <n v="5"/>
    <n v="80.930000000000007"/>
    <n v="48.63"/>
    <n v="404.65000000000003"/>
    <n v="243.15"/>
    <n v="161.50000000000003"/>
  </r>
  <r>
    <x v="400"/>
    <x v="8"/>
    <x v="3"/>
    <x v="1"/>
    <x v="0"/>
    <n v="2"/>
    <n v="1310.31"/>
    <n v="934.55"/>
    <n v="2620.62"/>
    <n v="1869.1"/>
    <n v="751.52"/>
  </r>
  <r>
    <x v="400"/>
    <x v="8"/>
    <x v="3"/>
    <x v="7"/>
    <x v="0"/>
    <n v="6"/>
    <n v="1036.7"/>
    <n v="921.31"/>
    <n v="6220.2000000000007"/>
    <n v="5527.86"/>
    <n v="692.34000000000106"/>
  </r>
  <r>
    <x v="401"/>
    <x v="5"/>
    <x v="2"/>
    <x v="2"/>
    <x v="0"/>
    <n v="6"/>
    <n v="778.1"/>
    <n v="432.14"/>
    <n v="4668.6000000000004"/>
    <n v="2592.84"/>
    <n v="2075.7600000000002"/>
  </r>
  <r>
    <x v="402"/>
    <x v="5"/>
    <x v="2"/>
    <x v="5"/>
    <x v="0"/>
    <n v="8"/>
    <n v="671.71"/>
    <n v="434.06"/>
    <n v="5373.68"/>
    <n v="3472.48"/>
    <n v="1901.2000000000003"/>
  </r>
  <r>
    <x v="403"/>
    <x v="0"/>
    <x v="0"/>
    <x v="6"/>
    <x v="1"/>
    <n v="5"/>
    <n v="286.27"/>
    <n v="173.27"/>
    <n v="1431.35"/>
    <n v="866.35"/>
    <n v="564.99999999999989"/>
  </r>
  <r>
    <x v="403"/>
    <x v="5"/>
    <x v="2"/>
    <x v="3"/>
    <x v="0"/>
    <n v="9"/>
    <n v="702.99"/>
    <n v="477.04"/>
    <n v="6326.91"/>
    <n v="4293.3600000000006"/>
    <n v="2033.5499999999993"/>
  </r>
  <r>
    <x v="404"/>
    <x v="4"/>
    <x v="3"/>
    <x v="6"/>
    <x v="0"/>
    <n v="3"/>
    <n v="41.81"/>
    <n v="23.23"/>
    <n v="125.43"/>
    <n v="69.69"/>
    <n v="55.740000000000009"/>
  </r>
  <r>
    <x v="404"/>
    <x v="5"/>
    <x v="2"/>
    <x v="3"/>
    <x v="3"/>
    <n v="7"/>
    <n v="772.33"/>
    <n v="498.85"/>
    <n v="5406.31"/>
    <n v="3491.9500000000003"/>
    <n v="1914.3600000000001"/>
  </r>
  <r>
    <x v="404"/>
    <x v="5"/>
    <x v="2"/>
    <x v="1"/>
    <x v="2"/>
    <n v="4"/>
    <n v="750.47"/>
    <n v="437.57"/>
    <n v="3001.88"/>
    <n v="1750.28"/>
    <n v="1251.6000000000001"/>
  </r>
  <r>
    <x v="405"/>
    <x v="9"/>
    <x v="0"/>
    <x v="1"/>
    <x v="3"/>
    <n v="5"/>
    <n v="71.08"/>
    <n v="44.03"/>
    <n v="355.4"/>
    <n v="220.15"/>
    <n v="135.24999999999997"/>
  </r>
  <r>
    <x v="405"/>
    <x v="8"/>
    <x v="3"/>
    <x v="1"/>
    <x v="0"/>
    <n v="1"/>
    <n v="1054.8900000000001"/>
    <n v="892.98"/>
    <n v="1054.8900000000001"/>
    <n v="892.98"/>
    <n v="161.91000000000008"/>
  </r>
  <r>
    <x v="406"/>
    <x v="8"/>
    <x v="3"/>
    <x v="3"/>
    <x v="3"/>
    <n v="1"/>
    <n v="1175.21"/>
    <n v="833.34"/>
    <n v="1175.21"/>
    <n v="833.34"/>
    <n v="341.87"/>
  </r>
  <r>
    <x v="407"/>
    <x v="9"/>
    <x v="0"/>
    <x v="1"/>
    <x v="4"/>
    <n v="6"/>
    <n v="55.33"/>
    <n v="43.39"/>
    <n v="331.98"/>
    <n v="260.34000000000003"/>
    <n v="71.639999999999986"/>
  </r>
  <r>
    <x v="408"/>
    <x v="4"/>
    <x v="3"/>
    <x v="0"/>
    <x v="0"/>
    <n v="9"/>
    <n v="48.63"/>
    <n v="27.36"/>
    <n v="437.67"/>
    <n v="246.24"/>
    <n v="191.43"/>
  </r>
  <r>
    <x v="408"/>
    <x v="0"/>
    <x v="0"/>
    <x v="4"/>
    <x v="4"/>
    <n v="9"/>
    <n v="294.27"/>
    <n v="207"/>
    <n v="2648.43"/>
    <n v="1863"/>
    <n v="785.42999999999984"/>
  </r>
  <r>
    <x v="408"/>
    <x v="5"/>
    <x v="2"/>
    <x v="0"/>
    <x v="3"/>
    <n v="8"/>
    <n v="702.8"/>
    <n v="514.59"/>
    <n v="5622.4"/>
    <n v="4116.72"/>
    <n v="1505.6799999999994"/>
  </r>
  <r>
    <x v="409"/>
    <x v="9"/>
    <x v="0"/>
    <x v="1"/>
    <x v="0"/>
    <n v="9"/>
    <n v="71.989999999999995"/>
    <n v="41.29"/>
    <n v="647.91"/>
    <n v="371.61"/>
    <n v="276.29999999999995"/>
  </r>
  <r>
    <x v="410"/>
    <x v="1"/>
    <x v="1"/>
    <x v="0"/>
    <x v="3"/>
    <n v="3"/>
    <n v="357.72"/>
    <n v="210.3"/>
    <n v="1073.1600000000001"/>
    <n v="630.90000000000009"/>
    <n v="442.26"/>
  </r>
  <r>
    <x v="411"/>
    <x v="3"/>
    <x v="0"/>
    <x v="0"/>
    <x v="3"/>
    <n v="1"/>
    <n v="53.11"/>
    <n v="38.44"/>
    <n v="53.11"/>
    <n v="38.44"/>
    <n v="14.670000000000002"/>
  </r>
  <r>
    <x v="412"/>
    <x v="0"/>
    <x v="0"/>
    <x v="6"/>
    <x v="1"/>
    <n v="3"/>
    <n v="265.39999999999998"/>
    <n v="200.81"/>
    <n v="796.19999999999993"/>
    <n v="602.43000000000006"/>
    <n v="193.76999999999987"/>
  </r>
  <r>
    <x v="413"/>
    <x v="1"/>
    <x v="1"/>
    <x v="4"/>
    <x v="2"/>
    <n v="2"/>
    <n v="348.15"/>
    <n v="207"/>
    <n v="696.3"/>
    <n v="414"/>
    <n v="282.29999999999995"/>
  </r>
  <r>
    <x v="413"/>
    <x v="9"/>
    <x v="0"/>
    <x v="2"/>
    <x v="1"/>
    <n v="2"/>
    <n v="55.88"/>
    <n v="41.73"/>
    <n v="111.76"/>
    <n v="83.46"/>
    <n v="28.300000000000011"/>
  </r>
  <r>
    <x v="414"/>
    <x v="1"/>
    <x v="1"/>
    <x v="0"/>
    <x v="0"/>
    <n v="6"/>
    <n v="330.09"/>
    <n v="228.37"/>
    <n v="1980.54"/>
    <n v="1370.22"/>
    <n v="610.31999999999994"/>
  </r>
  <r>
    <x v="415"/>
    <x v="6"/>
    <x v="1"/>
    <x v="7"/>
    <x v="0"/>
    <n v="10"/>
    <n v="469.08"/>
    <n v="308.98"/>
    <n v="4690.8"/>
    <n v="3089.8"/>
    <n v="1601"/>
  </r>
  <r>
    <x v="416"/>
    <x v="9"/>
    <x v="0"/>
    <x v="3"/>
    <x v="1"/>
    <n v="5"/>
    <n v="72.069999999999993"/>
    <n v="44.44"/>
    <n v="360.34999999999997"/>
    <n v="222.2"/>
    <n v="138.14999999999998"/>
  </r>
  <r>
    <x v="417"/>
    <x v="5"/>
    <x v="2"/>
    <x v="3"/>
    <x v="2"/>
    <n v="5"/>
    <n v="740.59"/>
    <n v="501.22"/>
    <n v="3702.9500000000003"/>
    <n v="2506.1000000000004"/>
    <n v="1196.8499999999999"/>
  </r>
  <r>
    <x v="417"/>
    <x v="7"/>
    <x v="3"/>
    <x v="0"/>
    <x v="4"/>
    <n v="1"/>
    <n v="78.5"/>
    <n v="51.58"/>
    <n v="78.5"/>
    <n v="51.58"/>
    <n v="26.92"/>
  </r>
  <r>
    <x v="418"/>
    <x v="8"/>
    <x v="3"/>
    <x v="4"/>
    <x v="4"/>
    <n v="3"/>
    <n v="1244.17"/>
    <n v="875.13"/>
    <n v="3732.51"/>
    <n v="2625.39"/>
    <n v="1107.1200000000003"/>
  </r>
  <r>
    <x v="418"/>
    <x v="8"/>
    <x v="3"/>
    <x v="7"/>
    <x v="4"/>
    <n v="10"/>
    <n v="1188.0899999999999"/>
    <n v="842.14"/>
    <n v="11880.9"/>
    <n v="8421.4"/>
    <n v="3459.5"/>
  </r>
  <r>
    <x v="419"/>
    <x v="2"/>
    <x v="2"/>
    <x v="7"/>
    <x v="3"/>
    <n v="6"/>
    <n v="76.430000000000007"/>
    <n v="49.4"/>
    <n v="458.58000000000004"/>
    <n v="296.39999999999998"/>
    <n v="162.18000000000006"/>
  </r>
  <r>
    <x v="420"/>
    <x v="5"/>
    <x v="2"/>
    <x v="5"/>
    <x v="3"/>
    <n v="6"/>
    <n v="708.53"/>
    <n v="464.43"/>
    <n v="4251.18"/>
    <n v="2786.58"/>
    <n v="1464.6000000000004"/>
  </r>
  <r>
    <x v="421"/>
    <x v="0"/>
    <x v="0"/>
    <x v="6"/>
    <x v="1"/>
    <n v="6"/>
    <n v="248.09"/>
    <n v="181.32"/>
    <n v="1488.54"/>
    <n v="1087.92"/>
    <n v="400.61999999999989"/>
  </r>
  <r>
    <x v="421"/>
    <x v="4"/>
    <x v="3"/>
    <x v="6"/>
    <x v="2"/>
    <n v="4"/>
    <n v="45.34"/>
    <n v="22.6"/>
    <n v="181.36"/>
    <n v="90.4"/>
    <n v="90.960000000000008"/>
  </r>
  <r>
    <x v="422"/>
    <x v="1"/>
    <x v="1"/>
    <x v="6"/>
    <x v="3"/>
    <n v="5"/>
    <n v="341.1"/>
    <n v="210.28"/>
    <n v="1705.5"/>
    <n v="1051.4000000000001"/>
    <n v="654.09999999999991"/>
  </r>
  <r>
    <x v="422"/>
    <x v="7"/>
    <x v="3"/>
    <x v="2"/>
    <x v="2"/>
    <n v="1"/>
    <n v="85.12"/>
    <n v="53.28"/>
    <n v="85.12"/>
    <n v="53.28"/>
    <n v="31.840000000000003"/>
  </r>
  <r>
    <x v="423"/>
    <x v="5"/>
    <x v="2"/>
    <x v="1"/>
    <x v="0"/>
    <n v="1"/>
    <n v="714.37"/>
    <n v="508.86"/>
    <n v="714.37"/>
    <n v="508.86"/>
    <n v="205.51"/>
  </r>
  <r>
    <x v="423"/>
    <x v="7"/>
    <x v="3"/>
    <x v="1"/>
    <x v="4"/>
    <n v="6"/>
    <n v="84.34"/>
    <n v="51.96"/>
    <n v="506.04"/>
    <n v="311.76"/>
    <n v="194.28000000000003"/>
  </r>
  <r>
    <x v="423"/>
    <x v="5"/>
    <x v="2"/>
    <x v="3"/>
    <x v="2"/>
    <n v="8"/>
    <n v="757.72"/>
    <n v="438.7"/>
    <n v="6061.76"/>
    <n v="3509.6"/>
    <n v="2552.1600000000003"/>
  </r>
  <r>
    <x v="424"/>
    <x v="7"/>
    <x v="3"/>
    <x v="5"/>
    <x v="4"/>
    <n v="3"/>
    <n v="87.07"/>
    <n v="51.45"/>
    <n v="261.20999999999998"/>
    <n v="154.35000000000002"/>
    <n v="106.85999999999996"/>
  </r>
  <r>
    <x v="425"/>
    <x v="6"/>
    <x v="1"/>
    <x v="5"/>
    <x v="1"/>
    <n v="10"/>
    <n v="426.25"/>
    <n v="283.27999999999997"/>
    <n v="4262.5"/>
    <n v="2832.7999999999997"/>
    <n v="1429.7000000000003"/>
  </r>
  <r>
    <x v="425"/>
    <x v="3"/>
    <x v="0"/>
    <x v="0"/>
    <x v="4"/>
    <n v="7"/>
    <n v="55.3"/>
    <n v="37.270000000000003"/>
    <n v="387.09999999999997"/>
    <n v="260.89000000000004"/>
    <n v="126.20999999999992"/>
  </r>
  <r>
    <x v="425"/>
    <x v="7"/>
    <x v="3"/>
    <x v="0"/>
    <x v="0"/>
    <n v="8"/>
    <n v="91.58"/>
    <n v="55.95"/>
    <n v="732.64"/>
    <n v="447.6"/>
    <n v="285.03999999999996"/>
  </r>
  <r>
    <x v="425"/>
    <x v="9"/>
    <x v="0"/>
    <x v="0"/>
    <x v="2"/>
    <n v="5"/>
    <n v="56.56"/>
    <n v="40.69"/>
    <n v="282.8"/>
    <n v="203.45"/>
    <n v="79.350000000000023"/>
  </r>
  <r>
    <x v="425"/>
    <x v="2"/>
    <x v="2"/>
    <x v="0"/>
    <x v="1"/>
    <n v="8"/>
    <n v="65.989999999999995"/>
    <n v="43.09"/>
    <n v="527.91999999999996"/>
    <n v="344.72"/>
    <n v="183.19999999999993"/>
  </r>
  <r>
    <x v="426"/>
    <x v="2"/>
    <x v="2"/>
    <x v="3"/>
    <x v="3"/>
    <n v="6"/>
    <n v="83.47"/>
    <n v="46.89"/>
    <n v="500.82"/>
    <n v="281.34000000000003"/>
    <n v="219.47999999999996"/>
  </r>
  <r>
    <x v="427"/>
    <x v="7"/>
    <x v="3"/>
    <x v="1"/>
    <x v="4"/>
    <n v="7"/>
    <n v="88.52"/>
    <n v="55.65"/>
    <n v="619.64"/>
    <n v="389.55"/>
    <n v="230.08999999999997"/>
  </r>
  <r>
    <x v="428"/>
    <x v="7"/>
    <x v="3"/>
    <x v="5"/>
    <x v="2"/>
    <n v="2"/>
    <n v="88.49"/>
    <n v="53.23"/>
    <n v="176.98"/>
    <n v="106.46"/>
    <n v="70.52"/>
  </r>
  <r>
    <x v="429"/>
    <x v="5"/>
    <x v="2"/>
    <x v="0"/>
    <x v="4"/>
    <n v="6"/>
    <n v="702.53"/>
    <n v="448.46"/>
    <n v="4215.18"/>
    <n v="2690.7599999999998"/>
    <n v="1524.4200000000005"/>
  </r>
  <r>
    <x v="430"/>
    <x v="9"/>
    <x v="0"/>
    <x v="2"/>
    <x v="0"/>
    <n v="5"/>
    <n v="73.05"/>
    <n v="45.55"/>
    <n v="365.25"/>
    <n v="227.75"/>
    <n v="137.5"/>
  </r>
  <r>
    <x v="431"/>
    <x v="5"/>
    <x v="2"/>
    <x v="4"/>
    <x v="2"/>
    <n v="6"/>
    <n v="755.09"/>
    <n v="467.62"/>
    <n v="4530.54"/>
    <n v="2805.7200000000003"/>
    <n v="1724.8199999999997"/>
  </r>
  <r>
    <x v="431"/>
    <x v="9"/>
    <x v="0"/>
    <x v="3"/>
    <x v="3"/>
    <n v="4"/>
    <n v="70.09"/>
    <n v="42.22"/>
    <n v="280.36"/>
    <n v="168.88"/>
    <n v="111.48000000000002"/>
  </r>
  <r>
    <x v="431"/>
    <x v="4"/>
    <x v="3"/>
    <x v="4"/>
    <x v="2"/>
    <n v="10"/>
    <n v="46.5"/>
    <n v="26.51"/>
    <n v="465"/>
    <n v="265.10000000000002"/>
    <n v="199.89999999999998"/>
  </r>
  <r>
    <x v="432"/>
    <x v="6"/>
    <x v="1"/>
    <x v="7"/>
    <x v="3"/>
    <n v="10"/>
    <n v="510.11"/>
    <n v="319.51"/>
    <n v="5101.1000000000004"/>
    <n v="3195.1"/>
    <n v="1906.0000000000005"/>
  </r>
  <r>
    <x v="432"/>
    <x v="0"/>
    <x v="0"/>
    <x v="4"/>
    <x v="0"/>
    <n v="1"/>
    <n v="285.39999999999998"/>
    <n v="187.62"/>
    <n v="285.39999999999998"/>
    <n v="187.62"/>
    <n v="97.779999999999973"/>
  </r>
  <r>
    <x v="432"/>
    <x v="3"/>
    <x v="0"/>
    <x v="5"/>
    <x v="0"/>
    <n v="7"/>
    <n v="55.25"/>
    <n v="37.08"/>
    <n v="386.75"/>
    <n v="259.56"/>
    <n v="127.19"/>
  </r>
  <r>
    <x v="433"/>
    <x v="2"/>
    <x v="2"/>
    <x v="3"/>
    <x v="1"/>
    <n v="3"/>
    <n v="84.06"/>
    <n v="47.68"/>
    <n v="252.18"/>
    <n v="143.04"/>
    <n v="109.14000000000001"/>
  </r>
  <r>
    <x v="433"/>
    <x v="7"/>
    <x v="3"/>
    <x v="0"/>
    <x v="2"/>
    <n v="7"/>
    <n v="79.17"/>
    <n v="49.2"/>
    <n v="554.19000000000005"/>
    <n v="344.40000000000003"/>
    <n v="209.79000000000002"/>
  </r>
  <r>
    <x v="434"/>
    <x v="6"/>
    <x v="1"/>
    <x v="0"/>
    <x v="4"/>
    <n v="9"/>
    <n v="458.82"/>
    <n v="325.47000000000003"/>
    <n v="4129.38"/>
    <n v="2929.2300000000005"/>
    <n v="1200.1499999999996"/>
  </r>
  <r>
    <x v="434"/>
    <x v="8"/>
    <x v="3"/>
    <x v="5"/>
    <x v="0"/>
    <n v="5"/>
    <n v="1063.78"/>
    <n v="833.19"/>
    <n v="5318.9"/>
    <n v="4165.9500000000007"/>
    <n v="1152.9499999999989"/>
  </r>
  <r>
    <x v="435"/>
    <x v="6"/>
    <x v="1"/>
    <x v="4"/>
    <x v="4"/>
    <n v="6"/>
    <n v="415.33"/>
    <n v="328.58"/>
    <n v="2491.98"/>
    <n v="1971.48"/>
    <n v="520.5"/>
  </r>
  <r>
    <x v="435"/>
    <x v="1"/>
    <x v="1"/>
    <x v="7"/>
    <x v="2"/>
    <n v="1"/>
    <n v="335.45"/>
    <n v="197.39"/>
    <n v="335.45"/>
    <n v="197.39"/>
    <n v="138.06"/>
  </r>
  <r>
    <x v="436"/>
    <x v="2"/>
    <x v="2"/>
    <x v="6"/>
    <x v="1"/>
    <n v="10"/>
    <n v="66"/>
    <n v="41"/>
    <n v="660"/>
    <n v="410"/>
    <n v="250"/>
  </r>
  <r>
    <x v="437"/>
    <x v="3"/>
    <x v="0"/>
    <x v="2"/>
    <x v="1"/>
    <n v="8"/>
    <n v="49.75"/>
    <n v="33.479999999999997"/>
    <n v="398"/>
    <n v="267.83999999999997"/>
    <n v="130.16000000000003"/>
  </r>
  <r>
    <x v="437"/>
    <x v="4"/>
    <x v="3"/>
    <x v="4"/>
    <x v="4"/>
    <n v="6"/>
    <n v="40.090000000000003"/>
    <n v="26.46"/>
    <n v="240.54000000000002"/>
    <n v="158.76"/>
    <n v="81.78000000000003"/>
  </r>
  <r>
    <x v="438"/>
    <x v="3"/>
    <x v="0"/>
    <x v="1"/>
    <x v="1"/>
    <n v="7"/>
    <n v="47.03"/>
    <n v="33.869999999999997"/>
    <n v="329.21000000000004"/>
    <n v="237.08999999999997"/>
    <n v="92.120000000000061"/>
  </r>
  <r>
    <x v="438"/>
    <x v="4"/>
    <x v="3"/>
    <x v="4"/>
    <x v="2"/>
    <n v="1"/>
    <n v="38.94"/>
    <n v="23.43"/>
    <n v="38.94"/>
    <n v="23.43"/>
    <n v="15.509999999999998"/>
  </r>
  <r>
    <x v="438"/>
    <x v="7"/>
    <x v="3"/>
    <x v="2"/>
    <x v="4"/>
    <n v="8"/>
    <n v="97.32"/>
    <n v="53.66"/>
    <n v="778.56"/>
    <n v="429.28"/>
    <n v="349.28"/>
  </r>
  <r>
    <x v="439"/>
    <x v="7"/>
    <x v="3"/>
    <x v="2"/>
    <x v="0"/>
    <n v="4"/>
    <n v="89.51"/>
    <n v="54.21"/>
    <n v="358.04"/>
    <n v="216.84"/>
    <n v="141.20000000000002"/>
  </r>
  <r>
    <x v="440"/>
    <x v="7"/>
    <x v="3"/>
    <x v="2"/>
    <x v="1"/>
    <n v="1"/>
    <n v="96.83"/>
    <n v="50.75"/>
    <n v="96.83"/>
    <n v="50.75"/>
    <n v="46.08"/>
  </r>
  <r>
    <x v="440"/>
    <x v="0"/>
    <x v="0"/>
    <x v="3"/>
    <x v="2"/>
    <n v="9"/>
    <n v="310.08999999999997"/>
    <n v="173.15"/>
    <n v="2790.81"/>
    <n v="1558.3500000000001"/>
    <n v="1232.4599999999998"/>
  </r>
  <r>
    <x v="441"/>
    <x v="5"/>
    <x v="2"/>
    <x v="6"/>
    <x v="3"/>
    <n v="5"/>
    <n v="608.01"/>
    <n v="458.64"/>
    <n v="3040.05"/>
    <n v="2293.1999999999998"/>
    <n v="746.85000000000036"/>
  </r>
  <r>
    <x v="441"/>
    <x v="0"/>
    <x v="0"/>
    <x v="2"/>
    <x v="1"/>
    <n v="8"/>
    <n v="263.92"/>
    <n v="178.37"/>
    <n v="2111.36"/>
    <n v="1426.96"/>
    <n v="684.40000000000009"/>
  </r>
  <r>
    <x v="441"/>
    <x v="6"/>
    <x v="1"/>
    <x v="1"/>
    <x v="0"/>
    <n v="2"/>
    <n v="430.8"/>
    <n v="306.17"/>
    <n v="861.6"/>
    <n v="612.34"/>
    <n v="249.26"/>
  </r>
  <r>
    <x v="442"/>
    <x v="6"/>
    <x v="1"/>
    <x v="6"/>
    <x v="0"/>
    <n v="5"/>
    <n v="399.8"/>
    <n v="282.94"/>
    <n v="1999"/>
    <n v="1414.7"/>
    <n v="584.29999999999995"/>
  </r>
  <r>
    <x v="443"/>
    <x v="4"/>
    <x v="3"/>
    <x v="3"/>
    <x v="1"/>
    <n v="1"/>
    <n v="44.31"/>
    <n v="27.44"/>
    <n v="44.31"/>
    <n v="27.44"/>
    <n v="16.87"/>
  </r>
  <r>
    <x v="443"/>
    <x v="8"/>
    <x v="3"/>
    <x v="2"/>
    <x v="0"/>
    <n v="6"/>
    <n v="1052.74"/>
    <n v="786.93"/>
    <n v="6316.4400000000005"/>
    <n v="4721.58"/>
    <n v="1594.8600000000006"/>
  </r>
  <r>
    <x v="444"/>
    <x v="2"/>
    <x v="2"/>
    <x v="4"/>
    <x v="1"/>
    <n v="2"/>
    <n v="77.63"/>
    <n v="45.33"/>
    <n v="155.26"/>
    <n v="90.66"/>
    <n v="64.599999999999994"/>
  </r>
  <r>
    <x v="444"/>
    <x v="2"/>
    <x v="2"/>
    <x v="7"/>
    <x v="4"/>
    <n v="1"/>
    <n v="80.41"/>
    <n v="46.78"/>
    <n v="80.41"/>
    <n v="46.78"/>
    <n v="33.629999999999995"/>
  </r>
  <r>
    <x v="445"/>
    <x v="3"/>
    <x v="0"/>
    <x v="7"/>
    <x v="4"/>
    <n v="10"/>
    <n v="57.23"/>
    <n v="35.369999999999997"/>
    <n v="572.29999999999995"/>
    <n v="353.7"/>
    <n v="218.59999999999997"/>
  </r>
  <r>
    <x v="446"/>
    <x v="2"/>
    <x v="2"/>
    <x v="7"/>
    <x v="4"/>
    <n v="4"/>
    <n v="80.37"/>
    <n v="48.36"/>
    <n v="321.48"/>
    <n v="193.44"/>
    <n v="128.04000000000002"/>
  </r>
  <r>
    <x v="447"/>
    <x v="7"/>
    <x v="3"/>
    <x v="7"/>
    <x v="0"/>
    <n v="10"/>
    <n v="82.53"/>
    <n v="49.46"/>
    <n v="825.3"/>
    <n v="494.6"/>
    <n v="330.69999999999993"/>
  </r>
  <r>
    <x v="447"/>
    <x v="0"/>
    <x v="0"/>
    <x v="2"/>
    <x v="0"/>
    <n v="8"/>
    <n v="316.44"/>
    <n v="205.1"/>
    <n v="2531.52"/>
    <n v="1640.8"/>
    <n v="890.72"/>
  </r>
  <r>
    <x v="447"/>
    <x v="8"/>
    <x v="3"/>
    <x v="7"/>
    <x v="1"/>
    <n v="5"/>
    <n v="1285.3399999999999"/>
    <n v="766.79"/>
    <n v="6426.7"/>
    <n v="3833.95"/>
    <n v="2592.75"/>
  </r>
  <r>
    <x v="448"/>
    <x v="2"/>
    <x v="2"/>
    <x v="6"/>
    <x v="1"/>
    <n v="7"/>
    <n v="66.709999999999994"/>
    <n v="40.520000000000003"/>
    <n v="466.96999999999997"/>
    <n v="283.64000000000004"/>
    <n v="183.32999999999993"/>
  </r>
  <r>
    <x v="448"/>
    <x v="9"/>
    <x v="0"/>
    <x v="7"/>
    <x v="1"/>
    <n v="7"/>
    <n v="58.98"/>
    <n v="44.53"/>
    <n v="412.85999999999996"/>
    <n v="311.71000000000004"/>
    <n v="101.14999999999992"/>
  </r>
  <r>
    <x v="449"/>
    <x v="7"/>
    <x v="3"/>
    <x v="3"/>
    <x v="0"/>
    <n v="9"/>
    <n v="87.21"/>
    <n v="55.49"/>
    <n v="784.89"/>
    <n v="499.41"/>
    <n v="285.47999999999996"/>
  </r>
  <r>
    <x v="449"/>
    <x v="1"/>
    <x v="1"/>
    <x v="7"/>
    <x v="3"/>
    <n v="7"/>
    <n v="357.66"/>
    <n v="223.11"/>
    <n v="2503.6200000000003"/>
    <n v="1561.77"/>
    <n v="941.85000000000036"/>
  </r>
  <r>
    <x v="449"/>
    <x v="8"/>
    <x v="3"/>
    <x v="7"/>
    <x v="2"/>
    <n v="4"/>
    <n v="1345.09"/>
    <n v="792.25"/>
    <n v="5380.36"/>
    <n v="3169"/>
    <n v="2211.3599999999997"/>
  </r>
  <r>
    <x v="450"/>
    <x v="5"/>
    <x v="2"/>
    <x v="1"/>
    <x v="4"/>
    <n v="6"/>
    <n v="680.3"/>
    <n v="511.09"/>
    <n v="4081.7999999999997"/>
    <n v="3066.54"/>
    <n v="1015.2599999999998"/>
  </r>
  <r>
    <x v="451"/>
    <x v="9"/>
    <x v="0"/>
    <x v="1"/>
    <x v="4"/>
    <n v="10"/>
    <n v="70.069999999999993"/>
    <n v="41.62"/>
    <n v="700.69999999999993"/>
    <n v="416.2"/>
    <n v="284.49999999999994"/>
  </r>
  <r>
    <x v="452"/>
    <x v="8"/>
    <x v="3"/>
    <x v="4"/>
    <x v="1"/>
    <n v="5"/>
    <n v="1091.3499999999999"/>
    <n v="829.04"/>
    <n v="5456.75"/>
    <n v="4145.2"/>
    <n v="1311.5500000000002"/>
  </r>
  <r>
    <x v="452"/>
    <x v="4"/>
    <x v="3"/>
    <x v="2"/>
    <x v="2"/>
    <n v="3"/>
    <n v="40.47"/>
    <n v="24.12"/>
    <n v="121.41"/>
    <n v="72.36"/>
    <n v="49.05"/>
  </r>
  <r>
    <x v="453"/>
    <x v="1"/>
    <x v="1"/>
    <x v="7"/>
    <x v="3"/>
    <n v="9"/>
    <n v="359.97"/>
    <n v="213.18"/>
    <n v="3239.7300000000005"/>
    <n v="1918.6200000000001"/>
    <n v="1321.1100000000004"/>
  </r>
  <r>
    <x v="454"/>
    <x v="8"/>
    <x v="3"/>
    <x v="5"/>
    <x v="2"/>
    <n v="3"/>
    <n v="1057.43"/>
    <n v="871.07"/>
    <n v="3172.29"/>
    <n v="2613.21"/>
    <n v="559.07999999999993"/>
  </r>
  <r>
    <x v="454"/>
    <x v="7"/>
    <x v="3"/>
    <x v="3"/>
    <x v="1"/>
    <n v="1"/>
    <n v="77.77"/>
    <n v="46.82"/>
    <n v="77.77"/>
    <n v="46.82"/>
    <n v="30.949999999999996"/>
  </r>
  <r>
    <x v="455"/>
    <x v="1"/>
    <x v="1"/>
    <x v="1"/>
    <x v="1"/>
    <n v="9"/>
    <n v="306.31"/>
    <n v="213.31"/>
    <n v="2756.79"/>
    <n v="1919.79"/>
    <n v="837"/>
  </r>
  <r>
    <x v="455"/>
    <x v="2"/>
    <x v="2"/>
    <x v="2"/>
    <x v="4"/>
    <n v="7"/>
    <n v="76.36"/>
    <n v="49.13"/>
    <n v="534.52"/>
    <n v="343.91"/>
    <n v="190.60999999999996"/>
  </r>
  <r>
    <x v="456"/>
    <x v="5"/>
    <x v="2"/>
    <x v="3"/>
    <x v="4"/>
    <n v="7"/>
    <n v="602.79999999999995"/>
    <n v="485.28"/>
    <n v="4219.5999999999995"/>
    <n v="3396.96"/>
    <n v="822.63999999999942"/>
  </r>
  <r>
    <x v="457"/>
    <x v="1"/>
    <x v="1"/>
    <x v="4"/>
    <x v="2"/>
    <n v="10"/>
    <n v="334.11"/>
    <n v="196.29"/>
    <n v="3341.1000000000004"/>
    <n v="1962.8999999999999"/>
    <n v="1378.2000000000005"/>
  </r>
  <r>
    <x v="458"/>
    <x v="6"/>
    <x v="1"/>
    <x v="3"/>
    <x v="3"/>
    <n v="3"/>
    <n v="462.1"/>
    <n v="295.48"/>
    <n v="1386.3000000000002"/>
    <n v="886.44"/>
    <n v="499.86000000000013"/>
  </r>
  <r>
    <x v="459"/>
    <x v="3"/>
    <x v="0"/>
    <x v="7"/>
    <x v="1"/>
    <n v="8"/>
    <n v="60.13"/>
    <n v="33.74"/>
    <n v="481.04"/>
    <n v="269.92"/>
    <n v="211.12"/>
  </r>
  <r>
    <x v="459"/>
    <x v="0"/>
    <x v="0"/>
    <x v="2"/>
    <x v="0"/>
    <n v="2"/>
    <n v="277.44"/>
    <n v="175.73"/>
    <n v="554.88"/>
    <n v="351.46"/>
    <n v="203.42000000000002"/>
  </r>
  <r>
    <x v="459"/>
    <x v="0"/>
    <x v="0"/>
    <x v="2"/>
    <x v="2"/>
    <n v="4"/>
    <n v="273.86"/>
    <n v="204.12"/>
    <n v="1095.44"/>
    <n v="816.48"/>
    <n v="278.96000000000004"/>
  </r>
  <r>
    <x v="460"/>
    <x v="6"/>
    <x v="1"/>
    <x v="6"/>
    <x v="3"/>
    <n v="7"/>
    <n v="517.16999999999996"/>
    <n v="281.35000000000002"/>
    <n v="3620.1899999999996"/>
    <n v="1969.4500000000003"/>
    <n v="1650.7399999999993"/>
  </r>
  <r>
    <x v="461"/>
    <x v="3"/>
    <x v="0"/>
    <x v="4"/>
    <x v="0"/>
    <n v="6"/>
    <n v="57.84"/>
    <n v="35.090000000000003"/>
    <n v="347.04"/>
    <n v="210.54000000000002"/>
    <n v="136.5"/>
  </r>
  <r>
    <x v="462"/>
    <x v="3"/>
    <x v="0"/>
    <x v="3"/>
    <x v="2"/>
    <n v="9"/>
    <n v="50.13"/>
    <n v="37.86"/>
    <n v="451.17"/>
    <n v="340.74"/>
    <n v="110.43"/>
  </r>
  <r>
    <x v="463"/>
    <x v="5"/>
    <x v="2"/>
    <x v="7"/>
    <x v="1"/>
    <n v="10"/>
    <n v="767.02"/>
    <n v="449.67"/>
    <n v="7670.2"/>
    <n v="4496.7"/>
    <n v="3173.5"/>
  </r>
  <r>
    <x v="464"/>
    <x v="0"/>
    <x v="0"/>
    <x v="6"/>
    <x v="4"/>
    <n v="4"/>
    <n v="281.82"/>
    <n v="189.04"/>
    <n v="1127.28"/>
    <n v="756.16"/>
    <n v="371.12"/>
  </r>
  <r>
    <x v="464"/>
    <x v="7"/>
    <x v="3"/>
    <x v="7"/>
    <x v="4"/>
    <n v="7"/>
    <n v="83.16"/>
    <n v="56.84"/>
    <n v="582.12"/>
    <n v="397.88"/>
    <n v="184.24"/>
  </r>
  <r>
    <x v="464"/>
    <x v="3"/>
    <x v="0"/>
    <x v="6"/>
    <x v="2"/>
    <n v="3"/>
    <n v="55.91"/>
    <n v="32.14"/>
    <n v="167.73"/>
    <n v="96.42"/>
    <n v="71.309999999999988"/>
  </r>
  <r>
    <x v="464"/>
    <x v="6"/>
    <x v="1"/>
    <x v="4"/>
    <x v="2"/>
    <n v="8"/>
    <n v="433.86"/>
    <n v="306.13"/>
    <n v="3470.88"/>
    <n v="2449.04"/>
    <n v="1021.8400000000001"/>
  </r>
  <r>
    <x v="465"/>
    <x v="8"/>
    <x v="3"/>
    <x v="7"/>
    <x v="2"/>
    <n v="9"/>
    <n v="1316.44"/>
    <n v="934.43"/>
    <n v="11847.960000000001"/>
    <n v="8409.869999999999"/>
    <n v="3438.090000000002"/>
  </r>
  <r>
    <x v="465"/>
    <x v="3"/>
    <x v="0"/>
    <x v="7"/>
    <x v="2"/>
    <n v="2"/>
    <n v="59.82"/>
    <n v="36.61"/>
    <n v="119.64"/>
    <n v="73.22"/>
    <n v="46.42"/>
  </r>
  <r>
    <x v="465"/>
    <x v="5"/>
    <x v="2"/>
    <x v="0"/>
    <x v="3"/>
    <n v="5"/>
    <n v="678.7"/>
    <n v="468.36"/>
    <n v="3393.5"/>
    <n v="2341.8000000000002"/>
    <n v="1051.6999999999998"/>
  </r>
  <r>
    <x v="465"/>
    <x v="5"/>
    <x v="2"/>
    <x v="4"/>
    <x v="1"/>
    <n v="5"/>
    <n v="616.58000000000004"/>
    <n v="438.84"/>
    <n v="3082.9"/>
    <n v="2194.1999999999998"/>
    <n v="888.70000000000027"/>
  </r>
  <r>
    <x v="466"/>
    <x v="8"/>
    <x v="3"/>
    <x v="7"/>
    <x v="3"/>
    <n v="1"/>
    <n v="1218.96"/>
    <n v="797.84"/>
    <n v="1218.96"/>
    <n v="797.84"/>
    <n v="421.12"/>
  </r>
  <r>
    <x v="466"/>
    <x v="5"/>
    <x v="2"/>
    <x v="0"/>
    <x v="2"/>
    <n v="5"/>
    <n v="611.21"/>
    <n v="521.51"/>
    <n v="3056.05"/>
    <n v="2607.5500000000002"/>
    <n v="448.5"/>
  </r>
  <r>
    <x v="467"/>
    <x v="1"/>
    <x v="1"/>
    <x v="5"/>
    <x v="1"/>
    <n v="4"/>
    <n v="278.98"/>
    <n v="209.72"/>
    <n v="1115.92"/>
    <n v="838.88"/>
    <n v="277.04000000000008"/>
  </r>
  <r>
    <x v="467"/>
    <x v="3"/>
    <x v="0"/>
    <x v="6"/>
    <x v="2"/>
    <n v="4"/>
    <n v="54.21"/>
    <n v="37.39"/>
    <n v="216.84"/>
    <n v="149.56"/>
    <n v="67.28"/>
  </r>
  <r>
    <x v="467"/>
    <x v="7"/>
    <x v="3"/>
    <x v="0"/>
    <x v="3"/>
    <n v="8"/>
    <n v="88.94"/>
    <n v="53.28"/>
    <n v="711.52"/>
    <n v="426.24"/>
    <n v="285.27999999999997"/>
  </r>
  <r>
    <x v="468"/>
    <x v="9"/>
    <x v="0"/>
    <x v="2"/>
    <x v="4"/>
    <n v="6"/>
    <n v="59.95"/>
    <n v="43.13"/>
    <n v="359.70000000000005"/>
    <n v="258.78000000000003"/>
    <n v="100.92000000000002"/>
  </r>
  <r>
    <x v="469"/>
    <x v="2"/>
    <x v="2"/>
    <x v="6"/>
    <x v="4"/>
    <n v="3"/>
    <n v="64.11"/>
    <n v="42.8"/>
    <n v="192.32999999999998"/>
    <n v="128.39999999999998"/>
    <n v="63.930000000000007"/>
  </r>
  <r>
    <x v="470"/>
    <x v="2"/>
    <x v="2"/>
    <x v="2"/>
    <x v="4"/>
    <n v="4"/>
    <n v="67.23"/>
    <n v="44.09"/>
    <n v="268.92"/>
    <n v="176.36"/>
    <n v="92.56"/>
  </r>
  <r>
    <x v="470"/>
    <x v="1"/>
    <x v="1"/>
    <x v="5"/>
    <x v="1"/>
    <n v="6"/>
    <n v="298.16000000000003"/>
    <n v="221.85"/>
    <n v="1788.96"/>
    <n v="1331.1"/>
    <n v="457.86000000000013"/>
  </r>
  <r>
    <x v="471"/>
    <x v="6"/>
    <x v="1"/>
    <x v="2"/>
    <x v="4"/>
    <n v="2"/>
    <n v="464.61"/>
    <n v="294.83999999999997"/>
    <n v="929.22"/>
    <n v="589.67999999999995"/>
    <n v="339.54000000000008"/>
  </r>
  <r>
    <x v="472"/>
    <x v="1"/>
    <x v="1"/>
    <x v="2"/>
    <x v="4"/>
    <n v="10"/>
    <n v="314.89999999999998"/>
    <n v="221.72"/>
    <n v="3149"/>
    <n v="2217.1999999999998"/>
    <n v="931.80000000000018"/>
  </r>
  <r>
    <x v="473"/>
    <x v="9"/>
    <x v="0"/>
    <x v="6"/>
    <x v="4"/>
    <n v="4"/>
    <n v="60.11"/>
    <n v="44.58"/>
    <n v="240.44"/>
    <n v="178.32"/>
    <n v="62.120000000000005"/>
  </r>
  <r>
    <x v="473"/>
    <x v="4"/>
    <x v="3"/>
    <x v="4"/>
    <x v="3"/>
    <n v="8"/>
    <n v="38.82"/>
    <n v="27.27"/>
    <n v="310.56"/>
    <n v="218.16"/>
    <n v="92.4"/>
  </r>
  <r>
    <x v="474"/>
    <x v="2"/>
    <x v="2"/>
    <x v="0"/>
    <x v="0"/>
    <n v="6"/>
    <n v="77.94"/>
    <n v="46.84"/>
    <n v="467.64"/>
    <n v="281.04000000000002"/>
    <n v="186.59999999999997"/>
  </r>
  <r>
    <x v="474"/>
    <x v="7"/>
    <x v="3"/>
    <x v="2"/>
    <x v="3"/>
    <n v="1"/>
    <n v="80.44"/>
    <n v="54.48"/>
    <n v="80.44"/>
    <n v="54.48"/>
    <n v="25.96"/>
  </r>
  <r>
    <x v="474"/>
    <x v="1"/>
    <x v="1"/>
    <x v="1"/>
    <x v="3"/>
    <n v="7"/>
    <n v="331.32"/>
    <n v="210.18"/>
    <n v="2319.2399999999998"/>
    <n v="1471.26"/>
    <n v="847.97999999999979"/>
  </r>
  <r>
    <x v="475"/>
    <x v="0"/>
    <x v="0"/>
    <x v="6"/>
    <x v="1"/>
    <n v="2"/>
    <n v="258.57"/>
    <n v="208.83"/>
    <n v="517.14"/>
    <n v="417.66"/>
    <n v="99.479999999999961"/>
  </r>
  <r>
    <x v="476"/>
    <x v="4"/>
    <x v="3"/>
    <x v="3"/>
    <x v="0"/>
    <n v="5"/>
    <n v="45.25"/>
    <n v="24.41"/>
    <n v="226.25"/>
    <n v="122.05"/>
    <n v="104.2"/>
  </r>
  <r>
    <x v="477"/>
    <x v="4"/>
    <x v="3"/>
    <x v="2"/>
    <x v="2"/>
    <n v="1"/>
    <n v="47.78"/>
    <n v="23.62"/>
    <n v="47.78"/>
    <n v="23.62"/>
    <n v="24.16"/>
  </r>
  <r>
    <x v="477"/>
    <x v="3"/>
    <x v="0"/>
    <x v="5"/>
    <x v="2"/>
    <n v="5"/>
    <n v="49.32"/>
    <n v="36.65"/>
    <n v="246.6"/>
    <n v="183.25"/>
    <n v="63.349999999999994"/>
  </r>
  <r>
    <x v="478"/>
    <x v="3"/>
    <x v="0"/>
    <x v="6"/>
    <x v="3"/>
    <n v="1"/>
    <n v="59.48"/>
    <n v="36.67"/>
    <n v="59.48"/>
    <n v="36.67"/>
    <n v="22.809999999999995"/>
  </r>
  <r>
    <x v="479"/>
    <x v="4"/>
    <x v="3"/>
    <x v="0"/>
    <x v="0"/>
    <n v="5"/>
    <n v="40.729999999999997"/>
    <n v="26.37"/>
    <n v="203.64999999999998"/>
    <n v="131.85"/>
    <n v="71.799999999999983"/>
  </r>
  <r>
    <x v="479"/>
    <x v="8"/>
    <x v="3"/>
    <x v="1"/>
    <x v="4"/>
    <n v="10"/>
    <n v="1293.6099999999999"/>
    <n v="875.71"/>
    <n v="12936.099999999999"/>
    <n v="8757.1"/>
    <n v="4178.9999999999982"/>
  </r>
  <r>
    <x v="479"/>
    <x v="4"/>
    <x v="3"/>
    <x v="0"/>
    <x v="3"/>
    <n v="1"/>
    <n v="39.450000000000003"/>
    <n v="25.91"/>
    <n v="39.450000000000003"/>
    <n v="25.91"/>
    <n v="13.540000000000003"/>
  </r>
  <r>
    <x v="480"/>
    <x v="2"/>
    <x v="2"/>
    <x v="1"/>
    <x v="0"/>
    <n v="4"/>
    <n v="85.24"/>
    <n v="46.12"/>
    <n v="340.96"/>
    <n v="184.48"/>
    <n v="156.47999999999999"/>
  </r>
  <r>
    <x v="481"/>
    <x v="7"/>
    <x v="3"/>
    <x v="6"/>
    <x v="0"/>
    <n v="3"/>
    <n v="86.26"/>
    <n v="48.68"/>
    <n v="258.78000000000003"/>
    <n v="146.04"/>
    <n v="112.74000000000004"/>
  </r>
  <r>
    <x v="482"/>
    <x v="4"/>
    <x v="3"/>
    <x v="7"/>
    <x v="2"/>
    <n v="3"/>
    <n v="51.06"/>
    <n v="24.51"/>
    <n v="153.18"/>
    <n v="73.53"/>
    <n v="79.650000000000006"/>
  </r>
  <r>
    <x v="482"/>
    <x v="1"/>
    <x v="1"/>
    <x v="5"/>
    <x v="1"/>
    <n v="1"/>
    <n v="328.05"/>
    <n v="189.15"/>
    <n v="328.05"/>
    <n v="189.15"/>
    <n v="138.9"/>
  </r>
  <r>
    <x v="482"/>
    <x v="2"/>
    <x v="2"/>
    <x v="3"/>
    <x v="0"/>
    <n v="5"/>
    <n v="78.5"/>
    <n v="42.97"/>
    <n v="392.5"/>
    <n v="214.85"/>
    <n v="177.65"/>
  </r>
  <r>
    <x v="482"/>
    <x v="0"/>
    <x v="0"/>
    <x v="5"/>
    <x v="0"/>
    <n v="2"/>
    <n v="294.58999999999997"/>
    <n v="193.74"/>
    <n v="589.17999999999995"/>
    <n v="387.48"/>
    <n v="201.69999999999993"/>
  </r>
  <r>
    <x v="483"/>
    <x v="3"/>
    <x v="0"/>
    <x v="0"/>
    <x v="3"/>
    <n v="8"/>
    <n v="62.45"/>
    <n v="33.11"/>
    <n v="499.6"/>
    <n v="264.88"/>
    <n v="234.72000000000003"/>
  </r>
  <r>
    <x v="484"/>
    <x v="6"/>
    <x v="1"/>
    <x v="6"/>
    <x v="4"/>
    <n v="7"/>
    <n v="429.12"/>
    <n v="315.20999999999998"/>
    <n v="3003.84"/>
    <n v="2206.4699999999998"/>
    <n v="797.37000000000035"/>
  </r>
  <r>
    <x v="485"/>
    <x v="9"/>
    <x v="0"/>
    <x v="2"/>
    <x v="0"/>
    <n v="3"/>
    <n v="58.43"/>
    <n v="39.49"/>
    <n v="175.29"/>
    <n v="118.47"/>
    <n v="56.819999999999993"/>
  </r>
  <r>
    <x v="485"/>
    <x v="8"/>
    <x v="3"/>
    <x v="5"/>
    <x v="0"/>
    <n v="6"/>
    <n v="1229.68"/>
    <n v="861.76"/>
    <n v="7378.08"/>
    <n v="5170.5599999999995"/>
    <n v="2207.5200000000004"/>
  </r>
  <r>
    <x v="486"/>
    <x v="7"/>
    <x v="3"/>
    <x v="2"/>
    <x v="1"/>
    <n v="8"/>
    <n v="92.86"/>
    <n v="54.71"/>
    <n v="742.88"/>
    <n v="437.68"/>
    <n v="305.2"/>
  </r>
  <r>
    <x v="487"/>
    <x v="7"/>
    <x v="3"/>
    <x v="1"/>
    <x v="4"/>
    <n v="4"/>
    <n v="81.099999999999994"/>
    <n v="52.82"/>
    <n v="324.39999999999998"/>
    <n v="211.28"/>
    <n v="113.11999999999998"/>
  </r>
  <r>
    <x v="487"/>
    <x v="9"/>
    <x v="0"/>
    <x v="0"/>
    <x v="3"/>
    <n v="9"/>
    <n v="63.48"/>
    <n v="45.11"/>
    <n v="571.31999999999994"/>
    <n v="405.99"/>
    <n v="165.32999999999993"/>
  </r>
  <r>
    <x v="487"/>
    <x v="0"/>
    <x v="0"/>
    <x v="6"/>
    <x v="3"/>
    <n v="10"/>
    <n v="259.64999999999998"/>
    <n v="189.09"/>
    <n v="2596.5"/>
    <n v="1890.9"/>
    <n v="705.59999999999991"/>
  </r>
  <r>
    <x v="488"/>
    <x v="7"/>
    <x v="3"/>
    <x v="0"/>
    <x v="3"/>
    <n v="1"/>
    <n v="79.290000000000006"/>
    <n v="53.76"/>
    <n v="79.290000000000006"/>
    <n v="53.76"/>
    <n v="25.530000000000008"/>
  </r>
  <r>
    <x v="488"/>
    <x v="7"/>
    <x v="3"/>
    <x v="1"/>
    <x v="2"/>
    <n v="6"/>
    <n v="100.78"/>
    <n v="47.81"/>
    <n v="604.68000000000006"/>
    <n v="286.86"/>
    <n v="317.82000000000005"/>
  </r>
  <r>
    <x v="489"/>
    <x v="2"/>
    <x v="2"/>
    <x v="3"/>
    <x v="2"/>
    <n v="7"/>
    <n v="82.69"/>
    <n v="42.9"/>
    <n v="578.82999999999993"/>
    <n v="300.3"/>
    <n v="278.52999999999992"/>
  </r>
  <r>
    <x v="489"/>
    <x v="6"/>
    <x v="1"/>
    <x v="3"/>
    <x v="0"/>
    <n v="3"/>
    <n v="510.96"/>
    <n v="331.49"/>
    <n v="1532.8799999999999"/>
    <n v="994.47"/>
    <n v="538.40999999999985"/>
  </r>
  <r>
    <x v="489"/>
    <x v="0"/>
    <x v="0"/>
    <x v="7"/>
    <x v="2"/>
    <n v="4"/>
    <n v="269.11"/>
    <n v="173.85"/>
    <n v="1076.44"/>
    <n v="695.4"/>
    <n v="381.04000000000008"/>
  </r>
  <r>
    <x v="490"/>
    <x v="0"/>
    <x v="0"/>
    <x v="1"/>
    <x v="2"/>
    <n v="4"/>
    <n v="277.26"/>
    <n v="185.93"/>
    <n v="1109.04"/>
    <n v="743.72"/>
    <n v="365.31999999999994"/>
  </r>
  <r>
    <x v="490"/>
    <x v="0"/>
    <x v="0"/>
    <x v="7"/>
    <x v="4"/>
    <n v="7"/>
    <n v="268.05"/>
    <n v="198.06"/>
    <n v="1876.3500000000001"/>
    <n v="1386.42"/>
    <n v="489.93000000000006"/>
  </r>
  <r>
    <x v="491"/>
    <x v="7"/>
    <x v="3"/>
    <x v="0"/>
    <x v="4"/>
    <n v="7"/>
    <n v="89.94"/>
    <n v="57.2"/>
    <n v="629.57999999999993"/>
    <n v="400.40000000000003"/>
    <n v="229.17999999999989"/>
  </r>
  <r>
    <x v="491"/>
    <x v="2"/>
    <x v="2"/>
    <x v="0"/>
    <x v="4"/>
    <n v="2"/>
    <n v="66.73"/>
    <n v="47.66"/>
    <n v="133.46"/>
    <n v="95.32"/>
    <n v="38.140000000000015"/>
  </r>
  <r>
    <x v="492"/>
    <x v="7"/>
    <x v="3"/>
    <x v="2"/>
    <x v="0"/>
    <n v="5"/>
    <n v="76.06"/>
    <n v="48.25"/>
    <n v="380.3"/>
    <n v="241.25"/>
    <n v="139.05000000000001"/>
  </r>
  <r>
    <x v="492"/>
    <x v="0"/>
    <x v="0"/>
    <x v="1"/>
    <x v="0"/>
    <n v="3"/>
    <n v="270.8"/>
    <n v="183.81"/>
    <n v="812.40000000000009"/>
    <n v="551.43000000000006"/>
    <n v="260.97000000000003"/>
  </r>
  <r>
    <x v="493"/>
    <x v="7"/>
    <x v="3"/>
    <x v="5"/>
    <x v="0"/>
    <n v="3"/>
    <n v="100.2"/>
    <n v="53.37"/>
    <n v="300.60000000000002"/>
    <n v="160.10999999999999"/>
    <n v="140.49000000000004"/>
  </r>
  <r>
    <x v="494"/>
    <x v="9"/>
    <x v="0"/>
    <x v="2"/>
    <x v="3"/>
    <n v="1"/>
    <n v="67.59"/>
    <n v="40.700000000000003"/>
    <n v="67.59"/>
    <n v="40.700000000000003"/>
    <n v="26.89"/>
  </r>
  <r>
    <x v="495"/>
    <x v="0"/>
    <x v="0"/>
    <x v="4"/>
    <x v="4"/>
    <n v="8"/>
    <n v="251.69"/>
    <n v="173.27"/>
    <n v="2013.52"/>
    <n v="1386.16"/>
    <n v="627.3599999999999"/>
  </r>
  <r>
    <x v="496"/>
    <x v="2"/>
    <x v="2"/>
    <x v="2"/>
    <x v="4"/>
    <n v="2"/>
    <n v="70"/>
    <n v="43.34"/>
    <n v="140"/>
    <n v="86.68"/>
    <n v="53.319999999999993"/>
  </r>
  <r>
    <x v="496"/>
    <x v="4"/>
    <x v="3"/>
    <x v="0"/>
    <x v="0"/>
    <n v="9"/>
    <n v="48.3"/>
    <n v="25.37"/>
    <n v="434.7"/>
    <n v="228.33"/>
    <n v="206.36999999999998"/>
  </r>
  <r>
    <x v="497"/>
    <x v="4"/>
    <x v="3"/>
    <x v="6"/>
    <x v="3"/>
    <n v="10"/>
    <n v="45.47"/>
    <n v="25.39"/>
    <n v="454.7"/>
    <n v="253.9"/>
    <n v="200.79999999999998"/>
  </r>
  <r>
    <x v="497"/>
    <x v="3"/>
    <x v="0"/>
    <x v="2"/>
    <x v="0"/>
    <n v="10"/>
    <n v="60.24"/>
    <n v="33.99"/>
    <n v="602.4"/>
    <n v="339.90000000000003"/>
    <n v="262.49999999999994"/>
  </r>
  <r>
    <x v="497"/>
    <x v="4"/>
    <x v="3"/>
    <x v="1"/>
    <x v="0"/>
    <n v="6"/>
    <n v="44.45"/>
    <n v="24.23"/>
    <n v="266.70000000000005"/>
    <n v="145.38"/>
    <n v="121.32000000000005"/>
  </r>
  <r>
    <x v="498"/>
    <x v="6"/>
    <x v="1"/>
    <x v="3"/>
    <x v="4"/>
    <n v="8"/>
    <n v="431.46"/>
    <n v="326.36"/>
    <n v="3451.68"/>
    <n v="2610.88"/>
    <n v="840.79999999999973"/>
  </r>
  <r>
    <x v="499"/>
    <x v="8"/>
    <x v="3"/>
    <x v="3"/>
    <x v="0"/>
    <n v="4"/>
    <n v="1329.18"/>
    <n v="903.72"/>
    <n v="5316.72"/>
    <n v="3614.88"/>
    <n v="1701.8400000000001"/>
  </r>
  <r>
    <x v="500"/>
    <x v="0"/>
    <x v="0"/>
    <x v="4"/>
    <x v="0"/>
    <n v="4"/>
    <n v="266.64999999999998"/>
    <n v="178.77"/>
    <n v="1066.5999999999999"/>
    <n v="715.08"/>
    <n v="351.51999999999987"/>
  </r>
  <r>
    <x v="501"/>
    <x v="2"/>
    <x v="2"/>
    <x v="2"/>
    <x v="1"/>
    <n v="3"/>
    <n v="83.06"/>
    <n v="49.18"/>
    <n v="249.18"/>
    <n v="147.54"/>
    <n v="101.64000000000001"/>
  </r>
  <r>
    <x v="501"/>
    <x v="3"/>
    <x v="0"/>
    <x v="1"/>
    <x v="3"/>
    <n v="5"/>
    <n v="53.58"/>
    <n v="35.270000000000003"/>
    <n v="267.89999999999998"/>
    <n v="176.35000000000002"/>
    <n v="91.549999999999955"/>
  </r>
  <r>
    <x v="502"/>
    <x v="8"/>
    <x v="3"/>
    <x v="5"/>
    <x v="0"/>
    <n v="10"/>
    <n v="1110.06"/>
    <n v="905.19"/>
    <n v="11100.599999999999"/>
    <n v="9051.9000000000015"/>
    <n v="2048.6999999999971"/>
  </r>
  <r>
    <x v="503"/>
    <x v="8"/>
    <x v="3"/>
    <x v="5"/>
    <x v="0"/>
    <n v="3"/>
    <n v="1038.95"/>
    <n v="918.52"/>
    <n v="3116.8500000000004"/>
    <n v="2755.56"/>
    <n v="361.29000000000042"/>
  </r>
  <r>
    <x v="503"/>
    <x v="8"/>
    <x v="3"/>
    <x v="3"/>
    <x v="2"/>
    <n v="7"/>
    <n v="1121.31"/>
    <n v="813.68"/>
    <n v="7849.17"/>
    <n v="5695.7599999999993"/>
    <n v="2153.4100000000008"/>
  </r>
  <r>
    <x v="504"/>
    <x v="2"/>
    <x v="2"/>
    <x v="6"/>
    <x v="2"/>
    <n v="10"/>
    <n v="67.02"/>
    <n v="48.83"/>
    <n v="670.19999999999993"/>
    <n v="488.29999999999995"/>
    <n v="181.89999999999998"/>
  </r>
  <r>
    <x v="505"/>
    <x v="7"/>
    <x v="3"/>
    <x v="3"/>
    <x v="2"/>
    <n v="4"/>
    <n v="78.05"/>
    <n v="53.74"/>
    <n v="312.2"/>
    <n v="214.96"/>
    <n v="97.239999999999981"/>
  </r>
  <r>
    <x v="506"/>
    <x v="7"/>
    <x v="3"/>
    <x v="2"/>
    <x v="3"/>
    <n v="5"/>
    <n v="102.25"/>
    <n v="52.55"/>
    <n v="511.25"/>
    <n v="262.75"/>
    <n v="248.5"/>
  </r>
  <r>
    <x v="507"/>
    <x v="6"/>
    <x v="1"/>
    <x v="2"/>
    <x v="1"/>
    <n v="5"/>
    <n v="433.22"/>
    <n v="316.07"/>
    <n v="2166.1000000000004"/>
    <n v="1580.35"/>
    <n v="585.75000000000045"/>
  </r>
  <r>
    <x v="507"/>
    <x v="4"/>
    <x v="3"/>
    <x v="7"/>
    <x v="4"/>
    <n v="4"/>
    <n v="41.05"/>
    <n v="25.5"/>
    <n v="164.2"/>
    <n v="102"/>
    <n v="62.199999999999989"/>
  </r>
  <r>
    <x v="507"/>
    <x v="0"/>
    <x v="0"/>
    <x v="3"/>
    <x v="0"/>
    <n v="4"/>
    <n v="281.31"/>
    <n v="200.17"/>
    <n v="1125.24"/>
    <n v="800.68"/>
    <n v="324.56000000000006"/>
  </r>
  <r>
    <x v="508"/>
    <x v="6"/>
    <x v="1"/>
    <x v="5"/>
    <x v="0"/>
    <n v="5"/>
    <n v="423.6"/>
    <n v="304.81"/>
    <n v="2118"/>
    <n v="1524.05"/>
    <n v="593.95000000000005"/>
  </r>
  <r>
    <x v="508"/>
    <x v="9"/>
    <x v="0"/>
    <x v="1"/>
    <x v="4"/>
    <n v="6"/>
    <n v="56.12"/>
    <n v="38.65"/>
    <n v="336.71999999999997"/>
    <n v="231.89999999999998"/>
    <n v="104.82"/>
  </r>
  <r>
    <x v="509"/>
    <x v="5"/>
    <x v="2"/>
    <x v="5"/>
    <x v="3"/>
    <n v="5"/>
    <n v="684.35"/>
    <n v="448.85"/>
    <n v="3421.75"/>
    <n v="2244.25"/>
    <n v="1177.5"/>
  </r>
  <r>
    <x v="509"/>
    <x v="6"/>
    <x v="1"/>
    <x v="4"/>
    <x v="0"/>
    <n v="1"/>
    <n v="488.85"/>
    <n v="330.35"/>
    <n v="488.85"/>
    <n v="330.35"/>
    <n v="158.5"/>
  </r>
  <r>
    <x v="510"/>
    <x v="6"/>
    <x v="1"/>
    <x v="1"/>
    <x v="3"/>
    <n v="7"/>
    <n v="472.33"/>
    <n v="309.3"/>
    <n v="3306.31"/>
    <n v="2165.1"/>
    <n v="1141.21"/>
  </r>
  <r>
    <x v="511"/>
    <x v="4"/>
    <x v="3"/>
    <x v="6"/>
    <x v="2"/>
    <n v="4"/>
    <n v="40.06"/>
    <n v="22.5"/>
    <n v="160.24"/>
    <n v="90"/>
    <n v="70.240000000000009"/>
  </r>
  <r>
    <x v="512"/>
    <x v="6"/>
    <x v="1"/>
    <x v="3"/>
    <x v="0"/>
    <n v="3"/>
    <n v="463.86"/>
    <n v="313.17"/>
    <n v="1391.58"/>
    <n v="939.51"/>
    <n v="452.06999999999994"/>
  </r>
  <r>
    <x v="512"/>
    <x v="4"/>
    <x v="3"/>
    <x v="6"/>
    <x v="4"/>
    <n v="2"/>
    <n v="45.43"/>
    <n v="25.1"/>
    <n v="90.86"/>
    <n v="50.2"/>
    <n v="40.659999999999997"/>
  </r>
  <r>
    <x v="513"/>
    <x v="4"/>
    <x v="3"/>
    <x v="1"/>
    <x v="3"/>
    <n v="3"/>
    <n v="51.1"/>
    <n v="27.26"/>
    <n v="153.30000000000001"/>
    <n v="81.78"/>
    <n v="71.52000000000001"/>
  </r>
  <r>
    <x v="513"/>
    <x v="6"/>
    <x v="1"/>
    <x v="0"/>
    <x v="2"/>
    <n v="9"/>
    <n v="485.47"/>
    <n v="328.29"/>
    <n v="4369.2300000000005"/>
    <n v="2954.61"/>
    <n v="1414.6200000000003"/>
  </r>
  <r>
    <x v="514"/>
    <x v="8"/>
    <x v="3"/>
    <x v="2"/>
    <x v="1"/>
    <n v="3"/>
    <n v="1241.5899999999999"/>
    <n v="797.53"/>
    <n v="3724.7699999999995"/>
    <n v="2392.59"/>
    <n v="1332.1799999999994"/>
  </r>
  <r>
    <x v="514"/>
    <x v="0"/>
    <x v="0"/>
    <x v="4"/>
    <x v="3"/>
    <n v="3"/>
    <n v="253.12"/>
    <n v="205.34"/>
    <n v="759.36"/>
    <n v="616.02"/>
    <n v="143.34000000000003"/>
  </r>
  <r>
    <x v="515"/>
    <x v="2"/>
    <x v="2"/>
    <x v="0"/>
    <x v="2"/>
    <n v="8"/>
    <n v="75.89"/>
    <n v="43.75"/>
    <n v="607.12"/>
    <n v="350"/>
    <n v="257.12"/>
  </r>
  <r>
    <x v="515"/>
    <x v="4"/>
    <x v="3"/>
    <x v="4"/>
    <x v="2"/>
    <n v="8"/>
    <n v="40.590000000000003"/>
    <n v="24.26"/>
    <n v="324.72000000000003"/>
    <n v="194.08"/>
    <n v="130.64000000000001"/>
  </r>
  <r>
    <x v="515"/>
    <x v="8"/>
    <x v="3"/>
    <x v="1"/>
    <x v="0"/>
    <n v="5"/>
    <n v="1323.82"/>
    <n v="872"/>
    <n v="6619.0999999999995"/>
    <n v="4360"/>
    <n v="2259.0999999999995"/>
  </r>
  <r>
    <x v="516"/>
    <x v="5"/>
    <x v="2"/>
    <x v="2"/>
    <x v="4"/>
    <n v="6"/>
    <n v="598.38"/>
    <n v="438.41"/>
    <n v="3590.2799999999997"/>
    <n v="2630.46"/>
    <n v="959.81999999999971"/>
  </r>
  <r>
    <x v="517"/>
    <x v="4"/>
    <x v="3"/>
    <x v="6"/>
    <x v="0"/>
    <n v="4"/>
    <n v="51.47"/>
    <n v="25.4"/>
    <n v="205.88"/>
    <n v="101.6"/>
    <n v="104.28"/>
  </r>
  <r>
    <x v="517"/>
    <x v="8"/>
    <x v="3"/>
    <x v="5"/>
    <x v="1"/>
    <n v="8"/>
    <n v="1116.58"/>
    <n v="920.12"/>
    <n v="8932.64"/>
    <n v="7360.96"/>
    <n v="1571.6799999999994"/>
  </r>
  <r>
    <x v="517"/>
    <x v="7"/>
    <x v="3"/>
    <x v="4"/>
    <x v="4"/>
    <n v="4"/>
    <n v="78.05"/>
    <n v="48.81"/>
    <n v="312.2"/>
    <n v="195.24"/>
    <n v="116.95999999999998"/>
  </r>
  <r>
    <x v="518"/>
    <x v="4"/>
    <x v="3"/>
    <x v="6"/>
    <x v="4"/>
    <n v="10"/>
    <n v="40.54"/>
    <n v="26.63"/>
    <n v="405.4"/>
    <n v="266.3"/>
    <n v="139.09999999999997"/>
  </r>
  <r>
    <x v="518"/>
    <x v="9"/>
    <x v="0"/>
    <x v="3"/>
    <x v="4"/>
    <n v="5"/>
    <n v="63.31"/>
    <n v="37.83"/>
    <n v="316.55"/>
    <n v="189.14999999999998"/>
    <n v="127.40000000000003"/>
  </r>
  <r>
    <x v="518"/>
    <x v="1"/>
    <x v="1"/>
    <x v="7"/>
    <x v="2"/>
    <n v="6"/>
    <n v="341.5"/>
    <n v="198.41"/>
    <n v="2049"/>
    <n v="1190.46"/>
    <n v="858.54"/>
  </r>
  <r>
    <x v="519"/>
    <x v="8"/>
    <x v="3"/>
    <x v="4"/>
    <x v="3"/>
    <n v="6"/>
    <n v="1038.3399999999999"/>
    <n v="807.74"/>
    <n v="6230.0399999999991"/>
    <n v="4846.4400000000005"/>
    <n v="1383.5999999999985"/>
  </r>
  <r>
    <x v="520"/>
    <x v="9"/>
    <x v="0"/>
    <x v="1"/>
    <x v="1"/>
    <n v="1"/>
    <n v="66.28"/>
    <n v="43.46"/>
    <n v="66.28"/>
    <n v="43.46"/>
    <n v="22.82"/>
  </r>
  <r>
    <x v="520"/>
    <x v="7"/>
    <x v="3"/>
    <x v="3"/>
    <x v="1"/>
    <n v="2"/>
    <n v="87.72"/>
    <n v="51.38"/>
    <n v="175.44"/>
    <n v="102.76"/>
    <n v="72.679999999999993"/>
  </r>
  <r>
    <x v="521"/>
    <x v="0"/>
    <x v="0"/>
    <x v="1"/>
    <x v="3"/>
    <n v="4"/>
    <n v="242.39"/>
    <n v="179.08"/>
    <n v="969.56"/>
    <n v="716.32"/>
    <n v="253.2399999999999"/>
  </r>
  <r>
    <x v="521"/>
    <x v="3"/>
    <x v="0"/>
    <x v="6"/>
    <x v="2"/>
    <n v="7"/>
    <n v="59.13"/>
    <n v="34.29"/>
    <n v="413.91"/>
    <n v="240.03"/>
    <n v="173.88000000000002"/>
  </r>
  <r>
    <x v="522"/>
    <x v="0"/>
    <x v="0"/>
    <x v="6"/>
    <x v="3"/>
    <n v="6"/>
    <n v="275.38"/>
    <n v="172.73"/>
    <n v="1652.28"/>
    <n v="1036.3799999999999"/>
    <n v="615.90000000000009"/>
  </r>
  <r>
    <x v="522"/>
    <x v="0"/>
    <x v="0"/>
    <x v="2"/>
    <x v="1"/>
    <n v="8"/>
    <n v="279.81"/>
    <n v="207.42"/>
    <n v="2238.48"/>
    <n v="1659.36"/>
    <n v="579.12000000000012"/>
  </r>
  <r>
    <x v="522"/>
    <x v="7"/>
    <x v="3"/>
    <x v="0"/>
    <x v="3"/>
    <n v="7"/>
    <n v="89.73"/>
    <n v="46.92"/>
    <n v="628.11"/>
    <n v="328.44"/>
    <n v="299.67"/>
  </r>
  <r>
    <x v="523"/>
    <x v="3"/>
    <x v="0"/>
    <x v="1"/>
    <x v="3"/>
    <n v="8"/>
    <n v="61.16"/>
    <n v="37.79"/>
    <n v="489.28"/>
    <n v="302.32"/>
    <n v="186.95999999999998"/>
  </r>
  <r>
    <x v="524"/>
    <x v="4"/>
    <x v="3"/>
    <x v="2"/>
    <x v="2"/>
    <n v="4"/>
    <n v="51.42"/>
    <n v="24.51"/>
    <n v="205.68"/>
    <n v="98.04"/>
    <n v="107.64"/>
  </r>
  <r>
    <x v="525"/>
    <x v="5"/>
    <x v="2"/>
    <x v="2"/>
    <x v="3"/>
    <n v="5"/>
    <n v="719.37"/>
    <n v="438.19"/>
    <n v="3596.85"/>
    <n v="2190.9499999999998"/>
    <n v="1405.9"/>
  </r>
  <r>
    <x v="526"/>
    <x v="2"/>
    <x v="2"/>
    <x v="4"/>
    <x v="3"/>
    <n v="3"/>
    <n v="77.48"/>
    <n v="45"/>
    <n v="232.44"/>
    <n v="135"/>
    <n v="97.44"/>
  </r>
  <r>
    <x v="527"/>
    <x v="8"/>
    <x v="3"/>
    <x v="3"/>
    <x v="3"/>
    <n v="6"/>
    <n v="1030.58"/>
    <n v="886.87"/>
    <n v="6183.48"/>
    <n v="5321.22"/>
    <n v="862.25999999999931"/>
  </r>
  <r>
    <x v="528"/>
    <x v="0"/>
    <x v="0"/>
    <x v="5"/>
    <x v="2"/>
    <n v="3"/>
    <n v="255.5"/>
    <n v="181.21"/>
    <n v="766.5"/>
    <n v="543.63"/>
    <n v="222.87"/>
  </r>
  <r>
    <x v="528"/>
    <x v="7"/>
    <x v="3"/>
    <x v="1"/>
    <x v="1"/>
    <n v="5"/>
    <n v="76.930000000000007"/>
    <n v="54.43"/>
    <n v="384.65000000000003"/>
    <n v="272.14999999999998"/>
    <n v="112.50000000000006"/>
  </r>
  <r>
    <x v="528"/>
    <x v="5"/>
    <x v="2"/>
    <x v="3"/>
    <x v="1"/>
    <n v="8"/>
    <n v="757.17"/>
    <n v="519.13"/>
    <n v="6057.36"/>
    <n v="4153.04"/>
    <n v="1904.3199999999997"/>
  </r>
  <r>
    <x v="528"/>
    <x v="7"/>
    <x v="3"/>
    <x v="7"/>
    <x v="3"/>
    <n v="7"/>
    <n v="83.87"/>
    <n v="56.49"/>
    <n v="587.09"/>
    <n v="395.43"/>
    <n v="191.66000000000003"/>
  </r>
  <r>
    <x v="529"/>
    <x v="5"/>
    <x v="2"/>
    <x v="4"/>
    <x v="4"/>
    <n v="1"/>
    <n v="655.05999999999995"/>
    <n v="445.22"/>
    <n v="655.05999999999995"/>
    <n v="445.22"/>
    <n v="209.83999999999992"/>
  </r>
  <r>
    <x v="529"/>
    <x v="8"/>
    <x v="3"/>
    <x v="4"/>
    <x v="4"/>
    <n v="6"/>
    <n v="1220.93"/>
    <n v="885.44"/>
    <n v="7325.58"/>
    <n v="5312.64"/>
    <n v="2012.9399999999996"/>
  </r>
  <r>
    <x v="530"/>
    <x v="2"/>
    <x v="2"/>
    <x v="4"/>
    <x v="1"/>
    <n v="4"/>
    <n v="85.21"/>
    <n v="42.04"/>
    <n v="340.84"/>
    <n v="168.16"/>
    <n v="172.67999999999998"/>
  </r>
  <r>
    <x v="530"/>
    <x v="7"/>
    <x v="3"/>
    <x v="6"/>
    <x v="2"/>
    <n v="2"/>
    <n v="97.27"/>
    <n v="52.57"/>
    <n v="194.54"/>
    <n v="105.14"/>
    <n v="89.399999999999991"/>
  </r>
  <r>
    <x v="531"/>
    <x v="1"/>
    <x v="1"/>
    <x v="2"/>
    <x v="0"/>
    <n v="7"/>
    <n v="303.87"/>
    <n v="193.35"/>
    <n v="2127.09"/>
    <n v="1353.45"/>
    <n v="773.6400000000001"/>
  </r>
  <r>
    <x v="532"/>
    <x v="8"/>
    <x v="3"/>
    <x v="5"/>
    <x v="1"/>
    <n v="10"/>
    <n v="1379.9"/>
    <n v="882.08"/>
    <n v="13799"/>
    <n v="8820.8000000000011"/>
    <n v="4978.1999999999989"/>
  </r>
  <r>
    <x v="532"/>
    <x v="8"/>
    <x v="3"/>
    <x v="0"/>
    <x v="4"/>
    <n v="7"/>
    <n v="1308.4100000000001"/>
    <n v="858.32"/>
    <n v="9158.8700000000008"/>
    <n v="6008.2400000000007"/>
    <n v="3150.63"/>
  </r>
  <r>
    <x v="532"/>
    <x v="7"/>
    <x v="3"/>
    <x v="5"/>
    <x v="4"/>
    <n v="9"/>
    <n v="94.1"/>
    <n v="47.05"/>
    <n v="846.9"/>
    <n v="423.45"/>
    <n v="423.45"/>
  </r>
  <r>
    <x v="532"/>
    <x v="5"/>
    <x v="2"/>
    <x v="0"/>
    <x v="2"/>
    <n v="10"/>
    <n v="682.4"/>
    <n v="454.2"/>
    <n v="6824"/>
    <n v="4542"/>
    <n v="2282"/>
  </r>
  <r>
    <x v="533"/>
    <x v="4"/>
    <x v="3"/>
    <x v="4"/>
    <x v="1"/>
    <n v="7"/>
    <n v="49.01"/>
    <n v="24.94"/>
    <n v="343.07"/>
    <n v="174.58"/>
    <n v="168.48999999999998"/>
  </r>
  <r>
    <x v="534"/>
    <x v="8"/>
    <x v="3"/>
    <x v="6"/>
    <x v="2"/>
    <n v="9"/>
    <n v="1029.8399999999999"/>
    <n v="923.66"/>
    <n v="9268.56"/>
    <n v="8312.94"/>
    <n v="955.61999999999898"/>
  </r>
  <r>
    <x v="535"/>
    <x v="1"/>
    <x v="1"/>
    <x v="4"/>
    <x v="4"/>
    <n v="6"/>
    <n v="332.35"/>
    <n v="221.72"/>
    <n v="1994.1000000000001"/>
    <n v="1330.32"/>
    <n v="663.7800000000002"/>
  </r>
  <r>
    <x v="536"/>
    <x v="2"/>
    <x v="2"/>
    <x v="0"/>
    <x v="3"/>
    <n v="3"/>
    <n v="75.099999999999994"/>
    <n v="42.64"/>
    <n v="225.29999999999998"/>
    <n v="127.92"/>
    <n v="97.379999999999981"/>
  </r>
  <r>
    <x v="537"/>
    <x v="5"/>
    <x v="2"/>
    <x v="4"/>
    <x v="3"/>
    <n v="1"/>
    <n v="615.62"/>
    <n v="459.22"/>
    <n v="615.62"/>
    <n v="459.22"/>
    <n v="156.39999999999998"/>
  </r>
  <r>
    <x v="537"/>
    <x v="3"/>
    <x v="0"/>
    <x v="1"/>
    <x v="0"/>
    <n v="3"/>
    <n v="58.07"/>
    <n v="35.200000000000003"/>
    <n v="174.21"/>
    <n v="105.60000000000001"/>
    <n v="68.61"/>
  </r>
  <r>
    <x v="538"/>
    <x v="0"/>
    <x v="0"/>
    <x v="2"/>
    <x v="0"/>
    <n v="8"/>
    <n v="251.39"/>
    <n v="198.22"/>
    <n v="2011.12"/>
    <n v="1585.76"/>
    <n v="425.3599999999999"/>
  </r>
  <r>
    <x v="539"/>
    <x v="7"/>
    <x v="3"/>
    <x v="4"/>
    <x v="0"/>
    <n v="3"/>
    <n v="81.02"/>
    <n v="48.15"/>
    <n v="243.06"/>
    <n v="144.44999999999999"/>
    <n v="98.610000000000014"/>
  </r>
  <r>
    <x v="539"/>
    <x v="5"/>
    <x v="2"/>
    <x v="2"/>
    <x v="4"/>
    <n v="8"/>
    <n v="771.4"/>
    <n v="510.41"/>
    <n v="6171.2"/>
    <n v="4083.28"/>
    <n v="2087.9199999999996"/>
  </r>
  <r>
    <x v="539"/>
    <x v="6"/>
    <x v="1"/>
    <x v="3"/>
    <x v="0"/>
    <n v="3"/>
    <n v="466.19"/>
    <n v="338.59"/>
    <n v="1398.57"/>
    <n v="1015.77"/>
    <n v="382.79999999999995"/>
  </r>
  <r>
    <x v="539"/>
    <x v="0"/>
    <x v="0"/>
    <x v="3"/>
    <x v="1"/>
    <n v="6"/>
    <n v="256.06"/>
    <n v="207.32"/>
    <n v="1536.3600000000001"/>
    <n v="1243.92"/>
    <n v="292.44000000000005"/>
  </r>
  <r>
    <x v="539"/>
    <x v="9"/>
    <x v="0"/>
    <x v="5"/>
    <x v="0"/>
    <n v="7"/>
    <n v="58.9"/>
    <n v="38.32"/>
    <n v="412.3"/>
    <n v="268.24"/>
    <n v="144.06"/>
  </r>
  <r>
    <x v="540"/>
    <x v="5"/>
    <x v="2"/>
    <x v="2"/>
    <x v="1"/>
    <n v="9"/>
    <n v="725.67"/>
    <n v="505.7"/>
    <n v="6531.03"/>
    <n v="4551.3"/>
    <n v="1979.7299999999996"/>
  </r>
  <r>
    <x v="540"/>
    <x v="3"/>
    <x v="0"/>
    <x v="2"/>
    <x v="0"/>
    <n v="7"/>
    <n v="62.2"/>
    <n v="33.479999999999997"/>
    <n v="435.40000000000003"/>
    <n v="234.35999999999999"/>
    <n v="201.04000000000005"/>
  </r>
  <r>
    <x v="540"/>
    <x v="9"/>
    <x v="0"/>
    <x v="1"/>
    <x v="1"/>
    <n v="1"/>
    <n v="64.09"/>
    <n v="39.200000000000003"/>
    <n v="64.09"/>
    <n v="39.200000000000003"/>
    <n v="24.89"/>
  </r>
  <r>
    <x v="541"/>
    <x v="1"/>
    <x v="1"/>
    <x v="2"/>
    <x v="3"/>
    <n v="1"/>
    <n v="298.08999999999997"/>
    <n v="219.09"/>
    <n v="298.08999999999997"/>
    <n v="219.09"/>
    <n v="78.999999999999972"/>
  </r>
  <r>
    <x v="542"/>
    <x v="6"/>
    <x v="1"/>
    <x v="1"/>
    <x v="0"/>
    <n v="1"/>
    <n v="400"/>
    <n v="288.11"/>
    <n v="400"/>
    <n v="288.11"/>
    <n v="111.88999999999999"/>
  </r>
  <r>
    <x v="543"/>
    <x v="2"/>
    <x v="2"/>
    <x v="6"/>
    <x v="2"/>
    <n v="4"/>
    <n v="67.180000000000007"/>
    <n v="48.65"/>
    <n v="268.72000000000003"/>
    <n v="194.6"/>
    <n v="74.120000000000033"/>
  </r>
  <r>
    <x v="544"/>
    <x v="7"/>
    <x v="3"/>
    <x v="5"/>
    <x v="2"/>
    <n v="5"/>
    <n v="87.86"/>
    <n v="55.7"/>
    <n v="439.3"/>
    <n v="278.5"/>
    <n v="160.80000000000001"/>
  </r>
  <r>
    <x v="544"/>
    <x v="3"/>
    <x v="0"/>
    <x v="7"/>
    <x v="0"/>
    <n v="8"/>
    <n v="53.07"/>
    <n v="33.22"/>
    <n v="424.56"/>
    <n v="265.76"/>
    <n v="158.80000000000001"/>
  </r>
  <r>
    <x v="544"/>
    <x v="3"/>
    <x v="0"/>
    <x v="5"/>
    <x v="1"/>
    <n v="2"/>
    <n v="52.83"/>
    <n v="32.4"/>
    <n v="105.66"/>
    <n v="64.8"/>
    <n v="40.86"/>
  </r>
  <r>
    <x v="545"/>
    <x v="8"/>
    <x v="3"/>
    <x v="0"/>
    <x v="2"/>
    <n v="8"/>
    <n v="1141.72"/>
    <n v="874.4"/>
    <n v="9133.76"/>
    <n v="6995.2"/>
    <n v="2138.5600000000004"/>
  </r>
  <r>
    <x v="546"/>
    <x v="7"/>
    <x v="3"/>
    <x v="7"/>
    <x v="3"/>
    <n v="3"/>
    <n v="91.59"/>
    <n v="55.36"/>
    <n v="274.77"/>
    <n v="166.07999999999998"/>
    <n v="108.69"/>
  </r>
  <r>
    <x v="547"/>
    <x v="1"/>
    <x v="1"/>
    <x v="6"/>
    <x v="2"/>
    <n v="5"/>
    <n v="345.65"/>
    <n v="194.19"/>
    <n v="1728.25"/>
    <n v="970.95"/>
    <n v="757.3"/>
  </r>
  <r>
    <x v="547"/>
    <x v="5"/>
    <x v="2"/>
    <x v="3"/>
    <x v="3"/>
    <n v="9"/>
    <n v="714.45"/>
    <n v="468.34"/>
    <n v="6430.05"/>
    <n v="4215.0599999999995"/>
    <n v="2214.9900000000007"/>
  </r>
  <r>
    <x v="547"/>
    <x v="8"/>
    <x v="3"/>
    <x v="2"/>
    <x v="2"/>
    <n v="10"/>
    <n v="1205.68"/>
    <n v="912.73"/>
    <n v="12056.800000000001"/>
    <n v="9127.2999999999993"/>
    <n v="2929.50000000000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758C48-AB32-4545-9723-A12C44DCD22A}" name="TablaDinámica9" cacheId="33" applyNumberFormats="0" applyBorderFormats="0" applyFontFormats="0" applyPatternFormats="0" applyAlignmentFormats="0" applyWidthHeightFormats="1" dataCaption="Valores" updatedVersion="8" minRefreshableVersion="5" rowGrandTotals="0" itemPrintTitles="1" createdVersion="8" indent="0" outline="1" outlineData="1" multipleFieldFilters="0" chartFormat="3" rowHeaderCaption="PRODUCTO">
  <location ref="AA8:AB13" firstHeaderRow="1" firstDataRow="1" firstDataCol="1"/>
  <pivotFields count="16">
    <pivotField numFmtId="14" showAll="0">
      <items count="5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t="default"/>
      </items>
    </pivotField>
    <pivotField axis="axisRow" showAll="0" measureFilter="1" sortType="ascending">
      <items count="11">
        <item x="2"/>
        <item x="9"/>
        <item x="0"/>
        <item x="8"/>
        <item x="1"/>
        <item x="4"/>
        <item x="5"/>
        <item x="6"/>
        <item x="7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9">
        <item x="0"/>
        <item x="7"/>
        <item x="2"/>
        <item x="3"/>
        <item x="4"/>
        <item x="1"/>
        <item x="6"/>
        <item x="5"/>
        <item t="default"/>
      </items>
    </pivotField>
    <pivotField showAll="0">
      <items count="6">
        <item x="2"/>
        <item x="4"/>
        <item x="1"/>
        <item x="3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5">
    <i>
      <x v="2"/>
    </i>
    <i>
      <x v="6"/>
    </i>
    <i>
      <x v="4"/>
    </i>
    <i>
      <x/>
    </i>
    <i>
      <x v="8"/>
    </i>
  </rowItems>
  <colItems count="1">
    <i/>
  </colItems>
  <dataFields count="1">
    <dataField name="CANTIDAD VENDIDA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4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7937BB-35C8-4EE2-B8D3-30D7252F46E2}" name="TablaDinámica5" cacheId="33" applyNumberFormats="0" applyBorderFormats="0" applyFontFormats="0" applyPatternFormats="0" applyAlignmentFormats="0" applyWidthHeightFormats="1" dataCaption="Valores" updatedVersion="8" minRefreshableVersion="5" itemPrintTitles="1" createdVersion="8" indent="0" outline="1" outlineData="1" multipleFieldFilters="0">
  <location ref="L4:L5" firstHeaderRow="1" firstDataRow="1" firstDataCol="0"/>
  <pivotFields count="16">
    <pivotField numFmtId="14" showAll="0">
      <items count="5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t="default"/>
      </items>
    </pivotField>
    <pivotField showAll="0"/>
    <pivotField showAll="0"/>
    <pivotField showAll="0">
      <items count="9">
        <item x="0"/>
        <item x="7"/>
        <item x="2"/>
        <item x="3"/>
        <item x="4"/>
        <item x="1"/>
        <item x="6"/>
        <item x="5"/>
        <item t="default"/>
      </items>
    </pivotField>
    <pivotField showAll="0">
      <items count="6">
        <item x="2"/>
        <item x="4"/>
        <item x="1"/>
        <item x="3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TOTAL VENTAS" fld="8" baseField="0" baseItem="0" numFmtId="4"/>
  </dataFields>
  <formats count="8">
    <format dxfId="1057">
      <pivotArea type="all" dataOnly="0" outline="0" fieldPosition="0"/>
    </format>
    <format dxfId="1058">
      <pivotArea outline="0" collapsedLevelsAreSubtotals="1" fieldPosition="0"/>
    </format>
    <format dxfId="1059">
      <pivotArea dataOnly="0" labelOnly="1" outline="0" axis="axisValues" fieldPosition="0"/>
    </format>
    <format dxfId="1060">
      <pivotArea type="all" dataOnly="0" outline="0" fieldPosition="0"/>
    </format>
    <format dxfId="1061">
      <pivotArea outline="0" collapsedLevelsAreSubtotals="1" fieldPosition="0"/>
    </format>
    <format dxfId="1062">
      <pivotArea dataOnly="0" labelOnly="1" outline="0" axis="axisValues" fieldPosition="0"/>
    </format>
    <format dxfId="1063">
      <pivotArea outline="0" collapsedLevelsAreSubtotals="1" fieldPosition="0"/>
    </format>
    <format dxfId="1064">
      <pivotArea outline="0" collapsedLevelsAreSubtotals="1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AFD8B0-3453-4D26-9B02-D48DADA54DE0}" name="TablaDinámica7" cacheId="33" applyNumberFormats="0" applyBorderFormats="0" applyFontFormats="0" applyPatternFormats="0" applyAlignmentFormats="0" applyWidthHeightFormats="1" dataCaption="Valores" updatedVersion="8" minRefreshableVersion="5" itemPrintTitles="1" createdVersion="8" indent="0" outline="1" outlineData="1" multipleFieldFilters="0">
  <location ref="L7:L8" firstHeaderRow="1" firstDataRow="1" firstDataCol="0"/>
  <pivotFields count="16">
    <pivotField numFmtId="14" showAll="0">
      <items count="5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t="default"/>
      </items>
    </pivotField>
    <pivotField showAll="0"/>
    <pivotField showAll="0"/>
    <pivotField showAll="0">
      <items count="9">
        <item x="0"/>
        <item x="7"/>
        <item x="2"/>
        <item x="3"/>
        <item x="4"/>
        <item x="1"/>
        <item x="6"/>
        <item x="5"/>
        <item t="default"/>
      </items>
    </pivotField>
    <pivotField showAll="0">
      <items count="6">
        <item x="2"/>
        <item x="4"/>
        <item x="1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ataField="1"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MARGEN BRUTO" fld="14" baseField="0" baseItem="0" numFmtId="10"/>
  </dataFields>
  <formats count="8">
    <format dxfId="1049">
      <pivotArea type="all" dataOnly="0" outline="0" fieldPosition="0"/>
    </format>
    <format dxfId="1050">
      <pivotArea outline="0" collapsedLevelsAreSubtotals="1" fieldPosition="0"/>
    </format>
    <format dxfId="1051">
      <pivotArea dataOnly="0" labelOnly="1" outline="0" axis="axisValues" fieldPosition="0"/>
    </format>
    <format dxfId="1052">
      <pivotArea type="all" dataOnly="0" outline="0" fieldPosition="0"/>
    </format>
    <format dxfId="1053">
      <pivotArea outline="0" collapsedLevelsAreSubtotals="1" fieldPosition="0"/>
    </format>
    <format dxfId="1054">
      <pivotArea dataOnly="0" labelOnly="1" outline="0" axis="axisValues" fieldPosition="0"/>
    </format>
    <format dxfId="1055">
      <pivotArea outline="0" collapsedLevelsAreSubtotals="1" fieldPosition="0"/>
    </format>
    <format dxfId="1056">
      <pivotArea outline="0" collapsedLevelsAreSubtotals="1" fieldPosition="0"/>
    </format>
  </formats>
  <conditionalFormats count="3">
    <conditionalFormat priority="6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5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4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D22B72-29C0-4519-9FEE-A470948445F6}" name="TablaDinámica4" cacheId="33" applyNumberFormats="0" applyBorderFormats="0" applyFontFormats="0" applyPatternFormats="0" applyAlignmentFormats="0" applyWidthHeightFormats="1" dataCaption="Valores" updatedVersion="8" minRefreshableVersion="5" rowGrandTotals="0" itemPrintTitles="1" createdVersion="8" indent="0" outline="1" outlineData="1" multipleFieldFilters="0" chartFormat="5" rowHeaderCaption="VENDEDOR">
  <location ref="AA1:AB6" firstHeaderRow="1" firstDataRow="1" firstDataCol="1"/>
  <pivotFields count="16">
    <pivotField numFmtId="14" showAll="0">
      <items count="5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t="default"/>
      </items>
    </pivotField>
    <pivotField showAll="0"/>
    <pivotField showAll="0"/>
    <pivotField axis="axisRow" showAll="0" measureFilter="1" sortType="ascending">
      <items count="9">
        <item x="0"/>
        <item x="7"/>
        <item x="2"/>
        <item x="3"/>
        <item x="4"/>
        <item x="1"/>
        <item x="6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6">
        <item x="2"/>
        <item x="4"/>
        <item x="1"/>
        <item x="3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</pivotFields>
  <rowFields count="1">
    <field x="3"/>
  </rowFields>
  <rowItems count="5">
    <i>
      <x v="2"/>
    </i>
    <i>
      <x v="5"/>
    </i>
    <i>
      <x v="3"/>
    </i>
    <i>
      <x v="4"/>
    </i>
    <i>
      <x v="7"/>
    </i>
  </rowItems>
  <colItems count="1">
    <i/>
  </colItems>
  <dataFields count="1">
    <dataField name="VENTA (S/.)" fld="8" baseField="0" baseItem="0"/>
  </dataFields>
  <formats count="19">
    <format dxfId="1083">
      <pivotArea outline="0" collapsedLevelsAreSubtotals="1" fieldPosition="0"/>
    </format>
    <format dxfId="1082">
      <pivotArea type="all" dataOnly="0" outline="0" fieldPosition="0"/>
    </format>
    <format dxfId="1081">
      <pivotArea outline="0" collapsedLevelsAreSubtotals="1" fieldPosition="0"/>
    </format>
    <format dxfId="1080">
      <pivotArea field="3" type="button" dataOnly="0" labelOnly="1" outline="0" axis="axisRow" fieldPosition="0"/>
    </format>
    <format dxfId="1079">
      <pivotArea dataOnly="0" labelOnly="1" fieldPosition="0">
        <references count="1">
          <reference field="3" count="0"/>
        </references>
      </pivotArea>
    </format>
    <format dxfId="1078">
      <pivotArea dataOnly="0" labelOnly="1" grandRow="1" outline="0" fieldPosition="0"/>
    </format>
    <format dxfId="1077">
      <pivotArea dataOnly="0" labelOnly="1" outline="0" axis="axisValues" fieldPosition="0"/>
    </format>
    <format dxfId="1076">
      <pivotArea type="all" dataOnly="0" outline="0" fieldPosition="0"/>
    </format>
    <format dxfId="1075">
      <pivotArea outline="0" collapsedLevelsAreSubtotals="1" fieldPosition="0"/>
    </format>
    <format dxfId="1074">
      <pivotArea field="3" type="button" dataOnly="0" labelOnly="1" outline="0" axis="axisRow" fieldPosition="0"/>
    </format>
    <format dxfId="1073">
      <pivotArea dataOnly="0" labelOnly="1" fieldPosition="0">
        <references count="1">
          <reference field="3" count="0"/>
        </references>
      </pivotArea>
    </format>
    <format dxfId="1072">
      <pivotArea dataOnly="0" labelOnly="1" grandRow="1" outline="0" fieldPosition="0"/>
    </format>
    <format dxfId="1071">
      <pivotArea dataOnly="0" labelOnly="1" outline="0" axis="axisValues" fieldPosition="0"/>
    </format>
    <format dxfId="1070">
      <pivotArea dataOnly="0" labelOnly="1" fieldPosition="0">
        <references count="1">
          <reference field="3" count="5">
            <x v="2"/>
            <x v="3"/>
            <x v="4"/>
            <x v="5"/>
            <x v="7"/>
          </reference>
        </references>
      </pivotArea>
    </format>
    <format dxfId="1069">
      <pivotArea collapsedLevelsAreSubtotals="1" fieldPosition="0">
        <references count="1">
          <reference field="3" count="1">
            <x v="4"/>
          </reference>
        </references>
      </pivotArea>
    </format>
    <format dxfId="1068">
      <pivotArea collapsedLevelsAreSubtotals="1" fieldPosition="0">
        <references count="1">
          <reference field="3" count="1">
            <x v="4"/>
          </reference>
        </references>
      </pivotArea>
    </format>
    <format dxfId="1067">
      <pivotArea collapsedLevelsAreSubtotals="1" fieldPosition="0">
        <references count="1">
          <reference field="3" count="1">
            <x v="4"/>
          </reference>
        </references>
      </pivotArea>
    </format>
    <format dxfId="1066">
      <pivotArea dataOnly="0" labelOnly="1" fieldPosition="0">
        <references count="1">
          <reference field="3" count="1">
            <x v="4"/>
          </reference>
        </references>
      </pivotArea>
    </format>
    <format dxfId="1065">
      <pivotArea collapsedLevelsAreSubtotals="1" fieldPosition="0">
        <references count="1">
          <reference field="3" count="1">
            <x v="4"/>
          </reference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4" showRowHeaders="1" showColHeaders="1" showRowStripes="0" showColStripes="0" showLastColumn="1"/>
  <filters count="1">
    <filter fld="3" type="count" evalOrder="-1" id="48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C67F45-DC8A-43BA-B30D-0BD4E3047C4C}" name="TablaDinámica1" cacheId="33" applyNumberFormats="0" applyBorderFormats="0" applyFontFormats="0" applyPatternFormats="0" applyAlignmentFormats="0" applyWidthHeightFormats="1" dataCaption="Valores" grandTotalCaption="TOTAL" updatedVersion="8" minRefreshableVersion="5" itemPrintTitles="1" createdVersion="8" indent="0" outline="1" outlineData="1" multipleFieldFilters="0" chartFormat="9" rowHeaderCaption="MESES" colHeaderCaption="AÑOS">
  <location ref="U1:V14" firstHeaderRow="1" firstDataRow="1" firstDataCol="1"/>
  <pivotFields count="16">
    <pivotField numFmtId="14" showAll="0">
      <items count="5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t="default"/>
      </items>
    </pivotField>
    <pivotField showAll="0"/>
    <pivotField showAll="0"/>
    <pivotField showAll="0">
      <items count="9">
        <item x="0"/>
        <item x="7"/>
        <item x="2"/>
        <item x="3"/>
        <item x="4"/>
        <item x="1"/>
        <item x="6"/>
        <item x="5"/>
        <item t="default"/>
      </items>
    </pivotField>
    <pivotField showAll="0">
      <items count="6">
        <item x="2"/>
        <item x="4"/>
        <item x="1"/>
        <item x="3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1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VENTA (S/.)" fld="8" baseField="0" baseItem="0"/>
  </dataFields>
  <formats count="5">
    <format dxfId="1088">
      <pivotArea type="all" dataOnly="0" outline="0" fieldPosition="0"/>
    </format>
    <format dxfId="1087">
      <pivotArea type="all" dataOnly="0" outline="0" fieldPosition="0"/>
    </format>
    <format dxfId="1086">
      <pivotArea outline="0" collapsedLevelsAreSubtotals="1" fieldPosition="0"/>
    </format>
    <format dxfId="1085">
      <pivotArea grandRow="1" grandCol="1" outline="0" collapsedLevelsAreSubtotals="1" fieldPosition="0"/>
    </format>
    <format dxfId="1084">
      <pivotArea dataOnly="0" labelOnly="1" fieldPosition="0">
        <references count="1">
          <reference field="1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0A0EFF-AB2A-46DB-82E8-8707CC07D5C2}" name="TablaDinámica3" cacheId="33" applyNumberFormats="0" applyBorderFormats="0" applyFontFormats="0" applyPatternFormats="0" applyAlignmentFormats="0" applyWidthHeightFormats="1" dataCaption="Valores" grandTotalCaption="TOTAL" updatedVersion="8" minRefreshableVersion="5" itemPrintTitles="1" createdVersion="8" indent="0" outline="1" outlineData="1" multipleFieldFilters="0" chartFormat="3" rowHeaderCaption="REGIÓN">
  <location ref="U17:V23" firstHeaderRow="1" firstDataRow="1" firstDataCol="1"/>
  <pivotFields count="16">
    <pivotField numFmtId="14" showAll="0">
      <items count="5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t="default"/>
      </items>
    </pivotField>
    <pivotField showAll="0"/>
    <pivotField showAll="0"/>
    <pivotField showAll="0">
      <items count="9">
        <item x="0"/>
        <item x="7"/>
        <item x="2"/>
        <item x="3"/>
        <item x="4"/>
        <item x="1"/>
        <item x="6"/>
        <item x="5"/>
        <item t="default"/>
      </items>
    </pivotField>
    <pivotField axis="axisRow" showAll="0" sortType="descending">
      <items count="6">
        <item x="2"/>
        <item x="4"/>
        <item x="1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</pivotFields>
  <rowFields count="1">
    <field x="4"/>
  </rowFields>
  <rowItems count="6">
    <i>
      <x/>
    </i>
    <i>
      <x v="1"/>
    </i>
    <i>
      <x v="4"/>
    </i>
    <i>
      <x v="2"/>
    </i>
    <i>
      <x v="3"/>
    </i>
    <i t="grand">
      <x/>
    </i>
  </rowItems>
  <colItems count="1">
    <i/>
  </colItems>
  <dataFields count="1">
    <dataField name="VENTA (S/.)" fld="8" baseField="0" baseItem="0"/>
  </dataFields>
  <formats count="14">
    <format dxfId="1102">
      <pivotArea type="all" dataOnly="0" outline="0" fieldPosition="0"/>
    </format>
    <format dxfId="1101">
      <pivotArea outline="0" collapsedLevelsAreSubtotals="1" fieldPosition="0"/>
    </format>
    <format dxfId="1100">
      <pivotArea field="4" type="button" dataOnly="0" labelOnly="1" outline="0" axis="axisRow" fieldPosition="0"/>
    </format>
    <format dxfId="1099">
      <pivotArea dataOnly="0" labelOnly="1" fieldPosition="0">
        <references count="1">
          <reference field="4" count="0"/>
        </references>
      </pivotArea>
    </format>
    <format dxfId="1098">
      <pivotArea dataOnly="0" labelOnly="1" grandRow="1" outline="0" fieldPosition="0"/>
    </format>
    <format dxfId="1097">
      <pivotArea dataOnly="0" labelOnly="1" outline="0" axis="axisValues" fieldPosition="0"/>
    </format>
    <format dxfId="1096">
      <pivotArea type="all" dataOnly="0" outline="0" fieldPosition="0"/>
    </format>
    <format dxfId="1095">
      <pivotArea outline="0" collapsedLevelsAreSubtotals="1" fieldPosition="0"/>
    </format>
    <format dxfId="1094">
      <pivotArea field="4" type="button" dataOnly="0" labelOnly="1" outline="0" axis="axisRow" fieldPosition="0"/>
    </format>
    <format dxfId="1093">
      <pivotArea dataOnly="0" labelOnly="1" fieldPosition="0">
        <references count="1">
          <reference field="4" count="0"/>
        </references>
      </pivotArea>
    </format>
    <format dxfId="1092">
      <pivotArea dataOnly="0" labelOnly="1" grandRow="1" outline="0" fieldPosition="0"/>
    </format>
    <format dxfId="1091">
      <pivotArea dataOnly="0" labelOnly="1" outline="0" axis="axisValues" fieldPosition="0"/>
    </format>
    <format dxfId="1090">
      <pivotArea outline="0" collapsedLevelsAreSubtotals="1" fieldPosition="0"/>
    </format>
    <format dxfId="1089">
      <pivotArea dataOnly="0" labelOnly="1" fieldPosition="0">
        <references count="1">
          <reference field="4" count="0"/>
        </references>
      </pivotArea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1C65A7-2F25-404A-AB11-A8030915EFDB}" name="TablaDinámica6" cacheId="3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N4:N5" firstHeaderRow="1" firstDataRow="1" firstDataCol="0"/>
  <pivotFields count="16">
    <pivotField numFmtId="14" showAll="0">
      <items count="5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t="default"/>
      </items>
    </pivotField>
    <pivotField showAll="0"/>
    <pivotField showAll="0"/>
    <pivotField showAll="0">
      <items count="9">
        <item x="0"/>
        <item x="7"/>
        <item x="2"/>
        <item x="3"/>
        <item x="4"/>
        <item x="1"/>
        <item x="6"/>
        <item x="5"/>
        <item t="default"/>
      </items>
    </pivotField>
    <pivotField showAll="0">
      <items count="6">
        <item x="2"/>
        <item x="4"/>
        <item x="1"/>
        <item x="3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ANTIDAD VENDIDA" fld="5" baseField="0" baseItem="0" numFmtId="3"/>
  </dataFields>
  <formats count="9">
    <format dxfId="1040">
      <pivotArea outline="0" collapsedLevelsAreSubtotals="1" fieldPosition="0"/>
    </format>
    <format dxfId="1041">
      <pivotArea outline="0" collapsedLevelsAreSubtotals="1" fieldPosition="0"/>
    </format>
    <format dxfId="1042">
      <pivotArea type="all" dataOnly="0" outline="0" fieldPosition="0"/>
    </format>
    <format dxfId="1043">
      <pivotArea outline="0" collapsedLevelsAreSubtotals="1" fieldPosition="0"/>
    </format>
    <format dxfId="1044">
      <pivotArea dataOnly="0" labelOnly="1" outline="0" axis="axisValues" fieldPosition="0"/>
    </format>
    <format dxfId="1045">
      <pivotArea type="all" dataOnly="0" outline="0" fieldPosition="0"/>
    </format>
    <format dxfId="1046">
      <pivotArea outline="0" collapsedLevelsAreSubtotals="1" fieldPosition="0"/>
    </format>
    <format dxfId="1047">
      <pivotArea dataOnly="0" labelOnly="1" outline="0" axis="axisValues" fieldPosition="0"/>
    </format>
    <format dxfId="1048">
      <pivotArea outline="0" collapsedLevelsAreSubtotals="1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6FE33A-135F-48CF-9F32-7BAA029D7702}" name="TablaDinámica8" cacheId="33" applyNumberFormats="0" applyBorderFormats="0" applyFontFormats="0" applyPatternFormats="0" applyAlignmentFormats="0" applyWidthHeightFormats="1" dataCaption="Valores" updatedVersion="8" minRefreshableVersion="5" itemPrintTitles="1" createdVersion="8" indent="0" outline="1" outlineData="1" multipleFieldFilters="0">
  <location ref="X8:X9" firstHeaderRow="1" firstDataRow="1" firstDataCol="0"/>
  <pivotFields count="16">
    <pivotField numFmtId="14" showAll="0">
      <items count="5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t="default"/>
      </items>
    </pivotField>
    <pivotField showAll="0"/>
    <pivotField showAll="0"/>
    <pivotField showAll="0">
      <items count="9">
        <item x="0"/>
        <item x="7"/>
        <item x="2"/>
        <item x="3"/>
        <item x="4"/>
        <item x="1"/>
        <item x="6"/>
        <item x="5"/>
        <item t="default"/>
      </items>
    </pivotField>
    <pivotField showAll="0">
      <items count="6">
        <item x="2"/>
        <item x="4"/>
        <item x="1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ataField="1" dragToRow="0" dragToCol="0" dragToPage="0" showAll="0" defaultSubtotal="0"/>
  </pivotFields>
  <rowItems count="1">
    <i/>
  </rowItems>
  <colItems count="1">
    <i/>
  </colItems>
  <dataFields count="1">
    <dataField name="UTILIDAD" fld="15" baseField="0" baseItem="0" numFmtId="165"/>
  </dataFields>
  <formats count="7">
    <format dxfId="1109">
      <pivotArea type="all" dataOnly="0" outline="0" fieldPosition="0"/>
    </format>
    <format dxfId="1108">
      <pivotArea outline="0" collapsedLevelsAreSubtotals="1" fieldPosition="0"/>
    </format>
    <format dxfId="1107">
      <pivotArea dataOnly="0" labelOnly="1" outline="0" axis="axisValues" fieldPosition="0"/>
    </format>
    <format dxfId="1106">
      <pivotArea type="all" dataOnly="0" outline="0" fieldPosition="0"/>
    </format>
    <format dxfId="1105">
      <pivotArea outline="0" collapsedLevelsAreSubtotals="1" fieldPosition="0"/>
    </format>
    <format dxfId="1104">
      <pivotArea dataOnly="0" labelOnly="1" outline="0" axis="axisValues" fieldPosition="0"/>
    </format>
    <format dxfId="1103">
      <pivotArea outline="0" collapsedLevelsAreSubtotals="1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D18E9-216F-405F-A240-87EC12C1BD9F}" name="TablaDinámica2" cacheId="33" applyNumberFormats="0" applyBorderFormats="0" applyFontFormats="0" applyPatternFormats="0" applyAlignmentFormats="0" applyWidthHeightFormats="1" dataCaption="Valores" grandTotalCaption="TOTAL" updatedVersion="8" minRefreshableVersion="5" itemPrintTitles="1" createdVersion="8" indent="0" outline="1" outlineData="1" multipleFieldFilters="0" chartFormat="5" rowHeaderCaption="CATEGORÍA" colHeaderCaption="AÑOS">
  <location ref="X1:Y6" firstHeaderRow="1" firstDataRow="1" firstDataCol="1"/>
  <pivotFields count="16">
    <pivotField numFmtId="14" showAll="0">
      <items count="5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t="default"/>
      </items>
    </pivotField>
    <pivotField showAll="0"/>
    <pivotField axis="axisRow" showAll="0">
      <items count="5">
        <item x="0"/>
        <item x="3"/>
        <item x="2"/>
        <item x="1"/>
        <item t="default"/>
      </items>
    </pivotField>
    <pivotField showAll="0">
      <items count="9">
        <item x="0"/>
        <item x="7"/>
        <item x="2"/>
        <item x="3"/>
        <item x="4"/>
        <item x="1"/>
        <item x="6"/>
        <item x="5"/>
        <item t="default"/>
      </items>
    </pivotField>
    <pivotField showAll="0">
      <items count="6">
        <item x="2"/>
        <item x="4"/>
        <item x="1"/>
        <item x="3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VENTA (S/.)" fld="8" baseField="0" baseItem="0"/>
  </dataFields>
  <formats count="24">
    <format dxfId="1133">
      <pivotArea type="all" dataOnly="0" outline="0" fieldPosition="0"/>
    </format>
    <format dxfId="1132">
      <pivotArea outline="0" collapsedLevelsAreSubtotals="1" fieldPosition="0"/>
    </format>
    <format dxfId="1131">
      <pivotArea type="origin" dataOnly="0" labelOnly="1" outline="0" fieldPosition="0"/>
    </format>
    <format dxfId="1130">
      <pivotArea field="13" type="button" dataOnly="0" labelOnly="1" outline="0"/>
    </format>
    <format dxfId="1129">
      <pivotArea field="0" type="button" dataOnly="0" labelOnly="1" outline="0"/>
    </format>
    <format dxfId="1128">
      <pivotArea type="topRight" dataOnly="0" labelOnly="1" outline="0" fieldPosition="0"/>
    </format>
    <format dxfId="1127">
      <pivotArea field="2" type="button" dataOnly="0" labelOnly="1" outline="0" axis="axisRow" fieldPosition="0"/>
    </format>
    <format dxfId="1126">
      <pivotArea dataOnly="0" labelOnly="1" fieldPosition="0">
        <references count="1">
          <reference field="2" count="0"/>
        </references>
      </pivotArea>
    </format>
    <format dxfId="1125">
      <pivotArea dataOnly="0" labelOnly="1" grandRow="1" outline="0" fieldPosition="0"/>
    </format>
    <format dxfId="1124">
      <pivotArea dataOnly="0" labelOnly="1" grandCol="1" outline="0" fieldPosition="0"/>
    </format>
    <format dxfId="1123">
      <pivotArea type="all" dataOnly="0" outline="0" fieldPosition="0"/>
    </format>
    <format dxfId="1122">
      <pivotArea outline="0" collapsedLevelsAreSubtotals="1" fieldPosition="0"/>
    </format>
    <format dxfId="1121">
      <pivotArea type="origin" dataOnly="0" labelOnly="1" outline="0" fieldPosition="0"/>
    </format>
    <format dxfId="1120">
      <pivotArea field="13" type="button" dataOnly="0" labelOnly="1" outline="0"/>
    </format>
    <format dxfId="1119">
      <pivotArea field="0" type="button" dataOnly="0" labelOnly="1" outline="0"/>
    </format>
    <format dxfId="1118">
      <pivotArea type="topRight" dataOnly="0" labelOnly="1" outline="0" fieldPosition="0"/>
    </format>
    <format dxfId="1117">
      <pivotArea field="2" type="button" dataOnly="0" labelOnly="1" outline="0" axis="axisRow" fieldPosition="0"/>
    </format>
    <format dxfId="1116">
      <pivotArea dataOnly="0" labelOnly="1" fieldPosition="0">
        <references count="1">
          <reference field="2" count="0"/>
        </references>
      </pivotArea>
    </format>
    <format dxfId="1115">
      <pivotArea dataOnly="0" labelOnly="1" grandRow="1" outline="0" fieldPosition="0"/>
    </format>
    <format dxfId="1114">
      <pivotArea dataOnly="0" labelOnly="1" grandCol="1" outline="0" fieldPosition="0"/>
    </format>
    <format dxfId="1113">
      <pivotArea outline="0" collapsedLevelsAreSubtotals="1" fieldPosition="0"/>
    </format>
    <format dxfId="1112">
      <pivotArea field="2" grandCol="1" collapsedLevelsAreSubtotals="1" axis="axisRow" fieldPosition="0">
        <references count="1">
          <reference field="2" count="0"/>
        </references>
      </pivotArea>
    </format>
    <format dxfId="1111">
      <pivotArea collapsedLevelsAreSubtotals="1" fieldPosition="0">
        <references count="1">
          <reference field="2" count="0"/>
        </references>
      </pivotArea>
    </format>
    <format dxfId="1110">
      <pivotArea dataOnly="0" labelOnly="1" fieldPosition="0">
        <references count="1">
          <reference field="2" count="0"/>
        </references>
      </pivotArea>
    </format>
  </formats>
  <chartFormats count="5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dedor" xr10:uid="{8A9FA2A2-C180-4AE0-817E-B5B0492C2475}" sourceName="Vendedor">
  <pivotTables>
    <pivotTable tabId="2" name="TablaDinámica1"/>
    <pivotTable tabId="2" name="TablaDinámica2"/>
    <pivotTable tabId="2" name="TablaDinámica3"/>
    <pivotTable tabId="2" name="TablaDinámica4"/>
    <pivotTable tabId="2" name="TablaDinámica5"/>
    <pivotTable tabId="2" name="TablaDinámica6"/>
    <pivotTable tabId="2" name="TablaDinámica7"/>
    <pivotTable tabId="2" name="TablaDinámica8"/>
    <pivotTable tabId="2" name="TablaDinámica9"/>
  </pivotTables>
  <data>
    <tabular pivotCacheId="946496007">
      <items count="8">
        <i x="0" s="1"/>
        <i x="7" s="1"/>
        <i x="2" s="1"/>
        <i x="3" s="1"/>
        <i x="4" s="1"/>
        <i x="1" s="1"/>
        <i x="6" s="1"/>
        <i x="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ón" xr10:uid="{A4947891-9AE8-45EA-AB2F-F02BD3B4C495}" sourceName="Región">
  <pivotTables>
    <pivotTable tabId="2" name="TablaDinámica1"/>
    <pivotTable tabId="2" name="TablaDinámica2"/>
    <pivotTable tabId="2" name="TablaDinámica3"/>
    <pivotTable tabId="2" name="TablaDinámica4"/>
    <pivotTable tabId="2" name="TablaDinámica5"/>
    <pivotTable tabId="2" name="TablaDinámica6"/>
    <pivotTable tabId="2" name="TablaDinámica7"/>
    <pivotTable tabId="2" name="TablaDinámica8"/>
    <pivotTable tabId="2" name="TablaDinámica9"/>
  </pivotTables>
  <data>
    <tabular pivotCacheId="946496007">
      <items count="5">
        <i x="2" s="1"/>
        <i x="4" s="1"/>
        <i x="1" s="1"/>
        <i x="3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endedor" xr10:uid="{61373B40-8EB8-4E4D-A4AF-0CAC83A2208E}" cache="SegmentaciónDeDatos_Vendedor" caption="VENDEDOR" columnCount="4" style="SlicerStyleDark6" rowHeight="257175"/>
  <slicer name="Región" xr10:uid="{54DA3C53-FA51-4A07-B047-EEDE569204FC}" cache="SegmentaciónDeDatos_Región" caption="REGIÓN" columnCount="3" style="SlicerStyleDark6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70ECD4-A8E0-4B0A-8747-85236180D8F2}" name="TablaVentas" displayName="TablaVentas" ref="A1:K1001" totalsRowShown="0" headerRowDxfId="1146" dataDxfId="1145">
  <autoFilter ref="A1:K1001" xr:uid="{CE70ECD4-A8E0-4B0A-8747-85236180D8F2}"/>
  <sortState xmlns:xlrd2="http://schemas.microsoft.com/office/spreadsheetml/2017/richdata2" ref="A2:H1001">
    <sortCondition ref="A1:A1001"/>
  </sortState>
  <tableColumns count="11">
    <tableColumn id="1" xr3:uid="{D1AC4E6F-9428-4F2A-9F33-D57A90202DAF}" name="Fecha" dataDxfId="1144"/>
    <tableColumn id="2" xr3:uid="{0E908DB9-F71D-41B5-9F16-39A6DA2BF7D2}" name="Producto" dataDxfId="1143"/>
    <tableColumn id="3" xr3:uid="{3000DADF-F3DD-4A85-B533-081B913BFC7B}" name="Categoría" dataDxfId="1142"/>
    <tableColumn id="4" xr3:uid="{32F732FA-04B3-42BA-BC43-EAFA24D5CA56}" name="Vendedor" dataDxfId="1141"/>
    <tableColumn id="5" xr3:uid="{99CFAC63-5064-4324-8807-62D811505070}" name="Región" dataDxfId="1140"/>
    <tableColumn id="6" xr3:uid="{27B1089C-40AE-4DF8-A9A7-951C110905B2}" name="Cantidad" dataDxfId="1139"/>
    <tableColumn id="7" xr3:uid="{E5699648-93D6-4E82-8990-1FB7131AA58B}" name="Precio Unitario" dataDxfId="1138"/>
    <tableColumn id="8" xr3:uid="{BA3E45CF-841B-48E0-95A0-5AA01B5FCA79}" name="Costo Unitario" dataDxfId="1137"/>
    <tableColumn id="9" xr3:uid="{7DAFB27C-559D-451E-B32D-2834B2F6A1F4}" name="Total Venta" dataDxfId="1136">
      <calculatedColumnFormula>TablaVentas[[#This Row],[Precio Unitario]]*TablaVentas[[#This Row],[Cantidad]]</calculatedColumnFormula>
    </tableColumn>
    <tableColumn id="10" xr3:uid="{800C4079-9AB3-4E3B-A61C-445E513900BC}" name="Total Costo" dataDxfId="1135">
      <calculatedColumnFormula>TablaVentas[[#This Row],[Costo Unitario]]*TablaVentas[[#This Row],[Cantidad]]</calculatedColumnFormula>
    </tableColumn>
    <tableColumn id="11" xr3:uid="{3194479F-8A30-4C13-8934-78B0D621785E}" name="Margen Producto" dataDxfId="1134">
      <calculatedColumnFormula>TablaVentas[[#This Row],[Total Venta]]-TablaVentas[[#This Row],[Total Costo]]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C33AD1A9-B596-416D-86EF-55245B07DA15}" sourceName="Fecha">
  <pivotTables>
    <pivotTable tabId="2" name="TablaDinámica1"/>
    <pivotTable tabId="2" name="TablaDinámica2"/>
    <pivotTable tabId="2" name="TablaDinámica3"/>
    <pivotTable tabId="2" name="TablaDinámica4"/>
    <pivotTable tabId="2" name="TablaDinámica5"/>
    <pivotTable tabId="2" name="TablaDinámica6"/>
    <pivotTable tabId="2" name="TablaDinámica7"/>
    <pivotTable tabId="2" name="TablaDinámica8"/>
    <pivotTable tabId="2" name="TablaDinámica9"/>
  </pivotTables>
  <state minimalRefreshVersion="6" lastRefreshVersion="6" pivotCacheId="946496007" filterType="unknown"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0EF612DD-FF57-4C7D-9903-2B2F6F9C33B5}" cache="NativeTimeline_Fecha" caption="PERIODO" showSelectionLabel="0" showTimeLevel="0" showHorizontalScrollbar="0" level="0" selectionLevel="0" scrollPosition="2023-01-01T00:00:00" style="TimeSlicerStyleDark6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vmlDrawing" Target="../drawings/vmlDrawing1.v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microsoft.com/office/2011/relationships/timeline" Target="../timelines/timelin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59375-FFF3-4E7F-9193-A3EA8E5567D3}">
  <sheetPr codeName="Hoja1"/>
  <dimension ref="A1:K1001"/>
  <sheetViews>
    <sheetView workbookViewId="0">
      <selection activeCell="K1" sqref="K1"/>
    </sheetView>
  </sheetViews>
  <sheetFormatPr baseColWidth="10" defaultRowHeight="15" x14ac:dyDescent="0.25"/>
  <cols>
    <col min="1" max="1" width="10.85546875" style="1" bestFit="1" customWidth="1"/>
    <col min="2" max="2" width="20.140625" style="1" bestFit="1" customWidth="1"/>
    <col min="3" max="3" width="16.140625" style="1" bestFit="1" customWidth="1"/>
    <col min="4" max="4" width="15.28515625" style="1" bestFit="1" customWidth="1"/>
    <col min="5" max="5" width="11.85546875" style="1" bestFit="1" customWidth="1"/>
    <col min="6" max="6" width="13.7109375" style="1" bestFit="1" customWidth="1"/>
    <col min="7" max="7" width="18.85546875" style="1" bestFit="1" customWidth="1"/>
    <col min="8" max="8" width="18.5703125" style="1" bestFit="1" customWidth="1"/>
    <col min="9" max="9" width="15.5703125" style="1" bestFit="1" customWidth="1"/>
    <col min="10" max="10" width="15.85546875" style="1" bestFit="1" customWidth="1"/>
    <col min="11" max="11" width="20.85546875" style="1" bestFit="1" customWidth="1"/>
    <col min="12" max="16384" width="11.42578125" style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53</v>
      </c>
      <c r="J1" s="1" t="s">
        <v>54</v>
      </c>
      <c r="K1" s="1" t="s">
        <v>65</v>
      </c>
    </row>
    <row r="2" spans="1:11" x14ac:dyDescent="0.25">
      <c r="A2" s="2">
        <v>44927</v>
      </c>
      <c r="B2" s="1" t="s">
        <v>34</v>
      </c>
      <c r="C2" s="1" t="s">
        <v>13</v>
      </c>
      <c r="D2" s="1" t="s">
        <v>31</v>
      </c>
      <c r="E2" s="1" t="s">
        <v>11</v>
      </c>
      <c r="F2" s="1">
        <v>1</v>
      </c>
      <c r="G2" s="1">
        <v>257.77999999999997</v>
      </c>
      <c r="H2" s="1">
        <v>176.22</v>
      </c>
      <c r="I2" s="1">
        <f>TablaVentas[[#This Row],[Precio Unitario]]*TablaVentas[[#This Row],[Cantidad]]</f>
        <v>257.77999999999997</v>
      </c>
      <c r="J2" s="1">
        <f>TablaVentas[[#This Row],[Costo Unitario]]*TablaVentas[[#This Row],[Cantidad]]</f>
        <v>176.22</v>
      </c>
      <c r="K2" s="1">
        <f>TablaVentas[[#This Row],[Total Venta]]-TablaVentas[[#This Row],[Total Costo]]</f>
        <v>81.559999999999974</v>
      </c>
    </row>
    <row r="3" spans="1:11" x14ac:dyDescent="0.25">
      <c r="A3" s="2">
        <v>44928</v>
      </c>
      <c r="B3" s="1" t="s">
        <v>32</v>
      </c>
      <c r="C3" s="1" t="s">
        <v>30</v>
      </c>
      <c r="D3" s="1" t="s">
        <v>33</v>
      </c>
      <c r="E3" s="1" t="s">
        <v>15</v>
      </c>
      <c r="F3" s="1">
        <v>2</v>
      </c>
      <c r="G3" s="1">
        <v>364.79</v>
      </c>
      <c r="H3" s="1">
        <v>209.7</v>
      </c>
      <c r="I3" s="1">
        <f>TablaVentas[[#This Row],[Precio Unitario]]*TablaVentas[[#This Row],[Cantidad]]</f>
        <v>729.58</v>
      </c>
      <c r="J3" s="1">
        <f>TablaVentas[[#This Row],[Costo Unitario]]*TablaVentas[[#This Row],[Cantidad]]</f>
        <v>419.4</v>
      </c>
      <c r="K3" s="1">
        <f>TablaVentas[[#This Row],[Total Venta]]-TablaVentas[[#This Row],[Total Costo]]</f>
        <v>310.18000000000006</v>
      </c>
    </row>
    <row r="4" spans="1:11" x14ac:dyDescent="0.25">
      <c r="A4" s="2">
        <v>44929</v>
      </c>
      <c r="B4" s="1" t="s">
        <v>23</v>
      </c>
      <c r="C4" s="1" t="s">
        <v>9</v>
      </c>
      <c r="D4" s="1" t="s">
        <v>24</v>
      </c>
      <c r="E4" s="1" t="s">
        <v>11</v>
      </c>
      <c r="F4" s="1">
        <v>5</v>
      </c>
      <c r="G4" s="1">
        <v>84.12</v>
      </c>
      <c r="H4" s="1">
        <v>45.21</v>
      </c>
      <c r="I4" s="1">
        <f>TablaVentas[[#This Row],[Precio Unitario]]*TablaVentas[[#This Row],[Cantidad]]</f>
        <v>420.6</v>
      </c>
      <c r="J4" s="1">
        <f>TablaVentas[[#This Row],[Costo Unitario]]*TablaVentas[[#This Row],[Cantidad]]</f>
        <v>226.05</v>
      </c>
      <c r="K4" s="1">
        <f>TablaVentas[[#This Row],[Total Venta]]-TablaVentas[[#This Row],[Total Costo]]</f>
        <v>194.55</v>
      </c>
    </row>
    <row r="5" spans="1:11" x14ac:dyDescent="0.25">
      <c r="A5" s="2">
        <v>44929</v>
      </c>
      <c r="B5" s="1" t="s">
        <v>34</v>
      </c>
      <c r="C5" s="1" t="s">
        <v>13</v>
      </c>
      <c r="D5" s="1" t="s">
        <v>33</v>
      </c>
      <c r="E5" s="1" t="s">
        <v>15</v>
      </c>
      <c r="F5" s="1">
        <v>7</v>
      </c>
      <c r="G5" s="1">
        <v>276.08</v>
      </c>
      <c r="H5" s="1">
        <v>196.63</v>
      </c>
      <c r="I5" s="1">
        <f>TablaVentas[[#This Row],[Precio Unitario]]*TablaVentas[[#This Row],[Cantidad]]</f>
        <v>1932.56</v>
      </c>
      <c r="J5" s="1">
        <f>TablaVentas[[#This Row],[Costo Unitario]]*TablaVentas[[#This Row],[Cantidad]]</f>
        <v>1376.4099999999999</v>
      </c>
      <c r="K5" s="1">
        <f>TablaVentas[[#This Row],[Total Venta]]-TablaVentas[[#This Row],[Total Costo]]</f>
        <v>556.15000000000009</v>
      </c>
    </row>
    <row r="6" spans="1:11" x14ac:dyDescent="0.25">
      <c r="A6" s="2">
        <v>44929</v>
      </c>
      <c r="B6" s="1" t="s">
        <v>16</v>
      </c>
      <c r="C6" s="1" t="s">
        <v>13</v>
      </c>
      <c r="D6" s="1" t="s">
        <v>14</v>
      </c>
      <c r="E6" s="1" t="s">
        <v>22</v>
      </c>
      <c r="F6" s="1">
        <v>1</v>
      </c>
      <c r="G6" s="1">
        <v>52.7</v>
      </c>
      <c r="H6" s="1">
        <v>37.43</v>
      </c>
      <c r="I6" s="1">
        <f>TablaVentas[[#This Row],[Precio Unitario]]*TablaVentas[[#This Row],[Cantidad]]</f>
        <v>52.7</v>
      </c>
      <c r="J6" s="1">
        <f>TablaVentas[[#This Row],[Costo Unitario]]*TablaVentas[[#This Row],[Cantidad]]</f>
        <v>37.43</v>
      </c>
      <c r="K6" s="1">
        <f>TablaVentas[[#This Row],[Total Venta]]-TablaVentas[[#This Row],[Total Costo]]</f>
        <v>15.270000000000003</v>
      </c>
    </row>
    <row r="7" spans="1:11" x14ac:dyDescent="0.25">
      <c r="A7" s="2">
        <v>44929</v>
      </c>
      <c r="B7" s="1" t="s">
        <v>23</v>
      </c>
      <c r="C7" s="1" t="s">
        <v>9</v>
      </c>
      <c r="D7" s="1" t="s">
        <v>24</v>
      </c>
      <c r="E7" s="1" t="s">
        <v>11</v>
      </c>
      <c r="F7" s="1">
        <v>7</v>
      </c>
      <c r="G7" s="1">
        <v>80.38</v>
      </c>
      <c r="H7" s="1">
        <v>44.26</v>
      </c>
      <c r="I7" s="1">
        <f>TablaVentas[[#This Row],[Precio Unitario]]*TablaVentas[[#This Row],[Cantidad]]</f>
        <v>562.66</v>
      </c>
      <c r="J7" s="1">
        <f>TablaVentas[[#This Row],[Costo Unitario]]*TablaVentas[[#This Row],[Cantidad]]</f>
        <v>309.82</v>
      </c>
      <c r="K7" s="1">
        <f>TablaVentas[[#This Row],[Total Venta]]-TablaVentas[[#This Row],[Total Costo]]</f>
        <v>252.83999999999997</v>
      </c>
    </row>
    <row r="8" spans="1:11" x14ac:dyDescent="0.25">
      <c r="A8" s="2">
        <v>44929</v>
      </c>
      <c r="B8" s="1" t="s">
        <v>34</v>
      </c>
      <c r="C8" s="1" t="s">
        <v>13</v>
      </c>
      <c r="D8" s="1" t="s">
        <v>10</v>
      </c>
      <c r="E8" s="1" t="s">
        <v>28</v>
      </c>
      <c r="F8" s="1">
        <v>6</v>
      </c>
      <c r="G8" s="1">
        <v>279.2</v>
      </c>
      <c r="H8" s="1">
        <v>197.71</v>
      </c>
      <c r="I8" s="1">
        <f>TablaVentas[[#This Row],[Precio Unitario]]*TablaVentas[[#This Row],[Cantidad]]</f>
        <v>1675.1999999999998</v>
      </c>
      <c r="J8" s="1">
        <f>TablaVentas[[#This Row],[Costo Unitario]]*TablaVentas[[#This Row],[Cantidad]]</f>
        <v>1186.26</v>
      </c>
      <c r="K8" s="1">
        <f>TablaVentas[[#This Row],[Total Venta]]-TablaVentas[[#This Row],[Total Costo]]</f>
        <v>488.93999999999983</v>
      </c>
    </row>
    <row r="9" spans="1:11" x14ac:dyDescent="0.25">
      <c r="A9" s="2">
        <v>44930</v>
      </c>
      <c r="B9" s="1" t="s">
        <v>23</v>
      </c>
      <c r="C9" s="1" t="s">
        <v>9</v>
      </c>
      <c r="D9" s="1" t="s">
        <v>14</v>
      </c>
      <c r="E9" s="1" t="s">
        <v>11</v>
      </c>
      <c r="F9" s="1">
        <v>6</v>
      </c>
      <c r="G9" s="1">
        <v>67.42</v>
      </c>
      <c r="H9" s="1">
        <v>46.52</v>
      </c>
      <c r="I9" s="1">
        <f>TablaVentas[[#This Row],[Precio Unitario]]*TablaVentas[[#This Row],[Cantidad]]</f>
        <v>404.52</v>
      </c>
      <c r="J9" s="1">
        <f>TablaVentas[[#This Row],[Costo Unitario]]*TablaVentas[[#This Row],[Cantidad]]</f>
        <v>279.12</v>
      </c>
      <c r="K9" s="1">
        <f>TablaVentas[[#This Row],[Total Venta]]-TablaVentas[[#This Row],[Total Costo]]</f>
        <v>125.39999999999998</v>
      </c>
    </row>
    <row r="10" spans="1:11" x14ac:dyDescent="0.25">
      <c r="A10" s="2">
        <v>44930</v>
      </c>
      <c r="B10" s="1" t="s">
        <v>26</v>
      </c>
      <c r="C10" s="1" t="s">
        <v>19</v>
      </c>
      <c r="D10" s="1" t="s">
        <v>17</v>
      </c>
      <c r="E10" s="1" t="s">
        <v>20</v>
      </c>
      <c r="F10" s="1">
        <v>8</v>
      </c>
      <c r="G10" s="1">
        <v>44.62</v>
      </c>
      <c r="H10" s="1">
        <v>22.88</v>
      </c>
      <c r="I10" s="1">
        <f>TablaVentas[[#This Row],[Precio Unitario]]*TablaVentas[[#This Row],[Cantidad]]</f>
        <v>356.96</v>
      </c>
      <c r="J10" s="1">
        <f>TablaVentas[[#This Row],[Costo Unitario]]*TablaVentas[[#This Row],[Cantidad]]</f>
        <v>183.04</v>
      </c>
      <c r="K10" s="1">
        <f>TablaVentas[[#This Row],[Total Venta]]-TablaVentas[[#This Row],[Total Costo]]</f>
        <v>173.92</v>
      </c>
    </row>
    <row r="11" spans="1:11" x14ac:dyDescent="0.25">
      <c r="A11" s="2">
        <v>44931</v>
      </c>
      <c r="B11" s="1" t="s">
        <v>26</v>
      </c>
      <c r="C11" s="1" t="s">
        <v>19</v>
      </c>
      <c r="D11" s="1" t="s">
        <v>14</v>
      </c>
      <c r="E11" s="1" t="s">
        <v>28</v>
      </c>
      <c r="F11" s="1">
        <v>5</v>
      </c>
      <c r="G11" s="1">
        <v>50.52</v>
      </c>
      <c r="H11" s="1">
        <v>26.17</v>
      </c>
      <c r="I11" s="1">
        <f>TablaVentas[[#This Row],[Precio Unitario]]*TablaVentas[[#This Row],[Cantidad]]</f>
        <v>252.60000000000002</v>
      </c>
      <c r="J11" s="1">
        <f>TablaVentas[[#This Row],[Costo Unitario]]*TablaVentas[[#This Row],[Cantidad]]</f>
        <v>130.85000000000002</v>
      </c>
      <c r="K11" s="1">
        <f>TablaVentas[[#This Row],[Total Venta]]-TablaVentas[[#This Row],[Total Costo]]</f>
        <v>121.75</v>
      </c>
    </row>
    <row r="12" spans="1:11" x14ac:dyDescent="0.25">
      <c r="A12" s="2">
        <v>44932</v>
      </c>
      <c r="B12" s="1" t="s">
        <v>8</v>
      </c>
      <c r="C12" s="1" t="s">
        <v>9</v>
      </c>
      <c r="D12" s="1" t="s">
        <v>10</v>
      </c>
      <c r="E12" s="1" t="s">
        <v>28</v>
      </c>
      <c r="F12" s="1">
        <v>6</v>
      </c>
      <c r="G12" s="1">
        <v>732.14</v>
      </c>
      <c r="H12" s="1">
        <v>443.82</v>
      </c>
      <c r="I12" s="1">
        <f>TablaVentas[[#This Row],[Precio Unitario]]*TablaVentas[[#This Row],[Cantidad]]</f>
        <v>4392.84</v>
      </c>
      <c r="J12" s="1">
        <f>TablaVentas[[#This Row],[Costo Unitario]]*TablaVentas[[#This Row],[Cantidad]]</f>
        <v>2662.92</v>
      </c>
      <c r="K12" s="1">
        <f>TablaVentas[[#This Row],[Total Venta]]-TablaVentas[[#This Row],[Total Costo]]</f>
        <v>1729.92</v>
      </c>
    </row>
    <row r="13" spans="1:11" x14ac:dyDescent="0.25">
      <c r="A13" s="2">
        <v>44934</v>
      </c>
      <c r="B13" s="1" t="s">
        <v>26</v>
      </c>
      <c r="C13" s="1" t="s">
        <v>19</v>
      </c>
      <c r="D13" s="1" t="s">
        <v>25</v>
      </c>
      <c r="E13" s="1" t="s">
        <v>15</v>
      </c>
      <c r="F13" s="1">
        <v>10</v>
      </c>
      <c r="G13" s="1">
        <v>50.02</v>
      </c>
      <c r="H13" s="1">
        <v>25.41</v>
      </c>
      <c r="I13" s="1">
        <f>TablaVentas[[#This Row],[Precio Unitario]]*TablaVentas[[#This Row],[Cantidad]]</f>
        <v>500.20000000000005</v>
      </c>
      <c r="J13" s="1">
        <f>TablaVentas[[#This Row],[Costo Unitario]]*TablaVentas[[#This Row],[Cantidad]]</f>
        <v>254.1</v>
      </c>
      <c r="K13" s="1">
        <f>TablaVentas[[#This Row],[Total Venta]]-TablaVentas[[#This Row],[Total Costo]]</f>
        <v>246.10000000000005</v>
      </c>
    </row>
    <row r="14" spans="1:11" x14ac:dyDescent="0.25">
      <c r="A14" s="2">
        <v>44934</v>
      </c>
      <c r="B14" s="1" t="s">
        <v>23</v>
      </c>
      <c r="C14" s="1" t="s">
        <v>9</v>
      </c>
      <c r="D14" s="1" t="s">
        <v>10</v>
      </c>
      <c r="E14" s="1" t="s">
        <v>20</v>
      </c>
      <c r="F14" s="1">
        <v>5</v>
      </c>
      <c r="G14" s="1">
        <v>66.06</v>
      </c>
      <c r="H14" s="1">
        <v>44.28</v>
      </c>
      <c r="I14" s="1">
        <f>TablaVentas[[#This Row],[Precio Unitario]]*TablaVentas[[#This Row],[Cantidad]]</f>
        <v>330.3</v>
      </c>
      <c r="J14" s="1">
        <f>TablaVentas[[#This Row],[Costo Unitario]]*TablaVentas[[#This Row],[Cantidad]]</f>
        <v>221.4</v>
      </c>
      <c r="K14" s="1">
        <f>TablaVentas[[#This Row],[Total Venta]]-TablaVentas[[#This Row],[Total Costo]]</f>
        <v>108.9</v>
      </c>
    </row>
    <row r="15" spans="1:11" x14ac:dyDescent="0.25">
      <c r="A15" s="2">
        <v>44936</v>
      </c>
      <c r="B15" s="1" t="s">
        <v>16</v>
      </c>
      <c r="C15" s="1" t="s">
        <v>13</v>
      </c>
      <c r="D15" s="1" t="s">
        <v>27</v>
      </c>
      <c r="E15" s="1" t="s">
        <v>22</v>
      </c>
      <c r="F15" s="1">
        <v>5</v>
      </c>
      <c r="G15" s="1">
        <v>49.55</v>
      </c>
      <c r="H15" s="1">
        <v>33.51</v>
      </c>
      <c r="I15" s="1">
        <f>TablaVentas[[#This Row],[Precio Unitario]]*TablaVentas[[#This Row],[Cantidad]]</f>
        <v>247.75</v>
      </c>
      <c r="J15" s="1">
        <f>TablaVentas[[#This Row],[Costo Unitario]]*TablaVentas[[#This Row],[Cantidad]]</f>
        <v>167.54999999999998</v>
      </c>
      <c r="K15" s="1">
        <f>TablaVentas[[#This Row],[Total Venta]]-TablaVentas[[#This Row],[Total Costo]]</f>
        <v>80.200000000000017</v>
      </c>
    </row>
    <row r="16" spans="1:11" x14ac:dyDescent="0.25">
      <c r="A16" s="2">
        <v>44936</v>
      </c>
      <c r="B16" s="1" t="s">
        <v>29</v>
      </c>
      <c r="C16" s="1" t="s">
        <v>30</v>
      </c>
      <c r="D16" s="1" t="s">
        <v>31</v>
      </c>
      <c r="E16" s="1" t="s">
        <v>22</v>
      </c>
      <c r="F16" s="1">
        <v>9</v>
      </c>
      <c r="G16" s="1">
        <v>412.37</v>
      </c>
      <c r="H16" s="1">
        <v>284.43</v>
      </c>
      <c r="I16" s="1">
        <f>TablaVentas[[#This Row],[Precio Unitario]]*TablaVentas[[#This Row],[Cantidad]]</f>
        <v>3711.33</v>
      </c>
      <c r="J16" s="1">
        <f>TablaVentas[[#This Row],[Costo Unitario]]*TablaVentas[[#This Row],[Cantidad]]</f>
        <v>2559.87</v>
      </c>
      <c r="K16" s="1">
        <f>TablaVentas[[#This Row],[Total Venta]]-TablaVentas[[#This Row],[Total Costo]]</f>
        <v>1151.46</v>
      </c>
    </row>
    <row r="17" spans="1:11" x14ac:dyDescent="0.25">
      <c r="A17" s="2">
        <v>44937</v>
      </c>
      <c r="B17" s="1" t="s">
        <v>23</v>
      </c>
      <c r="C17" s="1" t="s">
        <v>9</v>
      </c>
      <c r="D17" s="1" t="s">
        <v>24</v>
      </c>
      <c r="E17" s="1" t="s">
        <v>15</v>
      </c>
      <c r="F17" s="1">
        <v>10</v>
      </c>
      <c r="G17" s="1">
        <v>65.41</v>
      </c>
      <c r="H17" s="1">
        <v>43.14</v>
      </c>
      <c r="I17" s="1">
        <f>TablaVentas[[#This Row],[Precio Unitario]]*TablaVentas[[#This Row],[Cantidad]]</f>
        <v>654.09999999999991</v>
      </c>
      <c r="J17" s="1">
        <f>TablaVentas[[#This Row],[Costo Unitario]]*TablaVentas[[#This Row],[Cantidad]]</f>
        <v>431.4</v>
      </c>
      <c r="K17" s="1">
        <f>TablaVentas[[#This Row],[Total Venta]]-TablaVentas[[#This Row],[Total Costo]]</f>
        <v>222.69999999999993</v>
      </c>
    </row>
    <row r="18" spans="1:11" x14ac:dyDescent="0.25">
      <c r="A18" s="2">
        <v>44937</v>
      </c>
      <c r="B18" s="1" t="s">
        <v>8</v>
      </c>
      <c r="C18" s="1" t="s">
        <v>9</v>
      </c>
      <c r="D18" s="1" t="s">
        <v>33</v>
      </c>
      <c r="E18" s="1" t="s">
        <v>15</v>
      </c>
      <c r="F18" s="1">
        <v>9</v>
      </c>
      <c r="G18" s="1">
        <v>600.21</v>
      </c>
      <c r="H18" s="1">
        <v>510.36</v>
      </c>
      <c r="I18" s="1">
        <f>TablaVentas[[#This Row],[Precio Unitario]]*TablaVentas[[#This Row],[Cantidad]]</f>
        <v>5401.89</v>
      </c>
      <c r="J18" s="1">
        <f>TablaVentas[[#This Row],[Costo Unitario]]*TablaVentas[[#This Row],[Cantidad]]</f>
        <v>4593.24</v>
      </c>
      <c r="K18" s="1">
        <f>TablaVentas[[#This Row],[Total Venta]]-TablaVentas[[#This Row],[Total Costo]]</f>
        <v>808.65000000000055</v>
      </c>
    </row>
    <row r="19" spans="1:11" x14ac:dyDescent="0.25">
      <c r="A19" s="2">
        <v>44938</v>
      </c>
      <c r="B19" s="1" t="s">
        <v>32</v>
      </c>
      <c r="C19" s="1" t="s">
        <v>30</v>
      </c>
      <c r="D19" s="1" t="s">
        <v>14</v>
      </c>
      <c r="E19" s="1" t="s">
        <v>11</v>
      </c>
      <c r="F19" s="1">
        <v>4</v>
      </c>
      <c r="G19" s="1">
        <v>286.3</v>
      </c>
      <c r="H19" s="1">
        <v>202.56</v>
      </c>
      <c r="I19" s="1">
        <f>TablaVentas[[#This Row],[Precio Unitario]]*TablaVentas[[#This Row],[Cantidad]]</f>
        <v>1145.2</v>
      </c>
      <c r="J19" s="1">
        <f>TablaVentas[[#This Row],[Costo Unitario]]*TablaVentas[[#This Row],[Cantidad]]</f>
        <v>810.24</v>
      </c>
      <c r="K19" s="1">
        <f>TablaVentas[[#This Row],[Total Venta]]-TablaVentas[[#This Row],[Total Costo]]</f>
        <v>334.96000000000004</v>
      </c>
    </row>
    <row r="20" spans="1:11" x14ac:dyDescent="0.25">
      <c r="A20" s="2">
        <v>44939</v>
      </c>
      <c r="B20" s="1" t="s">
        <v>29</v>
      </c>
      <c r="C20" s="1" t="s">
        <v>30</v>
      </c>
      <c r="D20" s="1" t="s">
        <v>24</v>
      </c>
      <c r="E20" s="1" t="s">
        <v>28</v>
      </c>
      <c r="F20" s="1">
        <v>9</v>
      </c>
      <c r="G20" s="1">
        <v>494.08</v>
      </c>
      <c r="H20" s="1">
        <v>311.77999999999997</v>
      </c>
      <c r="I20" s="1">
        <f>TablaVentas[[#This Row],[Precio Unitario]]*TablaVentas[[#This Row],[Cantidad]]</f>
        <v>4446.72</v>
      </c>
      <c r="J20" s="1">
        <f>TablaVentas[[#This Row],[Costo Unitario]]*TablaVentas[[#This Row],[Cantidad]]</f>
        <v>2806.0199999999995</v>
      </c>
      <c r="K20" s="1">
        <f>TablaVentas[[#This Row],[Total Venta]]-TablaVentas[[#This Row],[Total Costo]]</f>
        <v>1640.7000000000007</v>
      </c>
    </row>
    <row r="21" spans="1:11" x14ac:dyDescent="0.25">
      <c r="A21" s="2">
        <v>44940</v>
      </c>
      <c r="B21" s="1" t="s">
        <v>26</v>
      </c>
      <c r="C21" s="1" t="s">
        <v>19</v>
      </c>
      <c r="D21" s="1" t="s">
        <v>25</v>
      </c>
      <c r="E21" s="1" t="s">
        <v>20</v>
      </c>
      <c r="F21" s="1">
        <v>6</v>
      </c>
      <c r="G21" s="1">
        <v>48.79</v>
      </c>
      <c r="H21" s="1">
        <v>22.71</v>
      </c>
      <c r="I21" s="1">
        <f>TablaVentas[[#This Row],[Precio Unitario]]*TablaVentas[[#This Row],[Cantidad]]</f>
        <v>292.74</v>
      </c>
      <c r="J21" s="1">
        <f>TablaVentas[[#This Row],[Costo Unitario]]*TablaVentas[[#This Row],[Cantidad]]</f>
        <v>136.26</v>
      </c>
      <c r="K21" s="1">
        <f>TablaVentas[[#This Row],[Total Venta]]-TablaVentas[[#This Row],[Total Costo]]</f>
        <v>156.48000000000002</v>
      </c>
    </row>
    <row r="22" spans="1:11" x14ac:dyDescent="0.25">
      <c r="A22" s="2">
        <v>44941</v>
      </c>
      <c r="B22" s="1" t="s">
        <v>34</v>
      </c>
      <c r="C22" s="1" t="s">
        <v>13</v>
      </c>
      <c r="D22" s="1" t="s">
        <v>10</v>
      </c>
      <c r="E22" s="1" t="s">
        <v>20</v>
      </c>
      <c r="F22" s="1">
        <v>10</v>
      </c>
      <c r="G22" s="1">
        <v>275.56</v>
      </c>
      <c r="H22" s="1">
        <v>200.34</v>
      </c>
      <c r="I22" s="1">
        <f>TablaVentas[[#This Row],[Precio Unitario]]*TablaVentas[[#This Row],[Cantidad]]</f>
        <v>2755.6</v>
      </c>
      <c r="J22" s="1">
        <f>TablaVentas[[#This Row],[Costo Unitario]]*TablaVentas[[#This Row],[Cantidad]]</f>
        <v>2003.4</v>
      </c>
      <c r="K22" s="1">
        <f>TablaVentas[[#This Row],[Total Venta]]-TablaVentas[[#This Row],[Total Costo]]</f>
        <v>752.19999999999982</v>
      </c>
    </row>
    <row r="23" spans="1:11" x14ac:dyDescent="0.25">
      <c r="A23" s="2">
        <v>44942</v>
      </c>
      <c r="B23" s="1" t="s">
        <v>23</v>
      </c>
      <c r="C23" s="1" t="s">
        <v>9</v>
      </c>
      <c r="D23" s="1" t="s">
        <v>27</v>
      </c>
      <c r="E23" s="1" t="s">
        <v>15</v>
      </c>
      <c r="F23" s="1">
        <v>9</v>
      </c>
      <c r="G23" s="1">
        <v>67.12</v>
      </c>
      <c r="H23" s="1">
        <v>44.5</v>
      </c>
      <c r="I23" s="1">
        <f>TablaVentas[[#This Row],[Precio Unitario]]*TablaVentas[[#This Row],[Cantidad]]</f>
        <v>604.08000000000004</v>
      </c>
      <c r="J23" s="1">
        <f>TablaVentas[[#This Row],[Costo Unitario]]*TablaVentas[[#This Row],[Cantidad]]</f>
        <v>400.5</v>
      </c>
      <c r="K23" s="1">
        <f>TablaVentas[[#This Row],[Total Venta]]-TablaVentas[[#This Row],[Total Costo]]</f>
        <v>203.58000000000004</v>
      </c>
    </row>
    <row r="24" spans="1:11" x14ac:dyDescent="0.25">
      <c r="A24" s="2">
        <v>44942</v>
      </c>
      <c r="B24" s="1" t="s">
        <v>8</v>
      </c>
      <c r="C24" s="1" t="s">
        <v>9</v>
      </c>
      <c r="D24" s="1" t="s">
        <v>10</v>
      </c>
      <c r="E24" s="1" t="s">
        <v>22</v>
      </c>
      <c r="F24" s="1">
        <v>10</v>
      </c>
      <c r="G24" s="1">
        <v>669.94</v>
      </c>
      <c r="H24" s="1">
        <v>439.97</v>
      </c>
      <c r="I24" s="1">
        <f>TablaVentas[[#This Row],[Precio Unitario]]*TablaVentas[[#This Row],[Cantidad]]</f>
        <v>6699.4000000000005</v>
      </c>
      <c r="J24" s="1">
        <f>TablaVentas[[#This Row],[Costo Unitario]]*TablaVentas[[#This Row],[Cantidad]]</f>
        <v>4399.7000000000007</v>
      </c>
      <c r="K24" s="1">
        <f>TablaVentas[[#This Row],[Total Venta]]-TablaVentas[[#This Row],[Total Costo]]</f>
        <v>2299.6999999999998</v>
      </c>
    </row>
    <row r="25" spans="1:11" x14ac:dyDescent="0.25">
      <c r="A25" s="2">
        <v>44943</v>
      </c>
      <c r="B25" s="1" t="s">
        <v>8</v>
      </c>
      <c r="C25" s="1" t="s">
        <v>9</v>
      </c>
      <c r="D25" s="1" t="s">
        <v>24</v>
      </c>
      <c r="E25" s="1" t="s">
        <v>20</v>
      </c>
      <c r="F25" s="1">
        <v>7</v>
      </c>
      <c r="G25" s="1">
        <v>680.5</v>
      </c>
      <c r="H25" s="1">
        <v>481.32</v>
      </c>
      <c r="I25" s="1">
        <f>TablaVentas[[#This Row],[Precio Unitario]]*TablaVentas[[#This Row],[Cantidad]]</f>
        <v>4763.5</v>
      </c>
      <c r="J25" s="1">
        <f>TablaVentas[[#This Row],[Costo Unitario]]*TablaVentas[[#This Row],[Cantidad]]</f>
        <v>3369.24</v>
      </c>
      <c r="K25" s="1">
        <f>TablaVentas[[#This Row],[Total Venta]]-TablaVentas[[#This Row],[Total Costo]]</f>
        <v>1394.2600000000002</v>
      </c>
    </row>
    <row r="26" spans="1:11" x14ac:dyDescent="0.25">
      <c r="A26" s="2">
        <v>44944</v>
      </c>
      <c r="B26" s="1" t="s">
        <v>26</v>
      </c>
      <c r="C26" s="1" t="s">
        <v>19</v>
      </c>
      <c r="D26" s="1" t="s">
        <v>27</v>
      </c>
      <c r="E26" s="1" t="s">
        <v>20</v>
      </c>
      <c r="F26" s="1">
        <v>7</v>
      </c>
      <c r="G26" s="1">
        <v>48.11</v>
      </c>
      <c r="H26" s="1">
        <v>24.83</v>
      </c>
      <c r="I26" s="1">
        <f>TablaVentas[[#This Row],[Precio Unitario]]*TablaVentas[[#This Row],[Cantidad]]</f>
        <v>336.77</v>
      </c>
      <c r="J26" s="1">
        <f>TablaVentas[[#This Row],[Costo Unitario]]*TablaVentas[[#This Row],[Cantidad]]</f>
        <v>173.81</v>
      </c>
      <c r="K26" s="1">
        <f>TablaVentas[[#This Row],[Total Venta]]-TablaVentas[[#This Row],[Total Costo]]</f>
        <v>162.95999999999998</v>
      </c>
    </row>
    <row r="27" spans="1:11" x14ac:dyDescent="0.25">
      <c r="A27" s="2">
        <v>44944</v>
      </c>
      <c r="B27" s="1" t="s">
        <v>21</v>
      </c>
      <c r="C27" s="1" t="s">
        <v>19</v>
      </c>
      <c r="D27" s="1" t="s">
        <v>27</v>
      </c>
      <c r="E27" s="1" t="s">
        <v>15</v>
      </c>
      <c r="F27" s="1">
        <v>9</v>
      </c>
      <c r="G27" s="1">
        <v>89.37</v>
      </c>
      <c r="H27" s="1">
        <v>47.75</v>
      </c>
      <c r="I27" s="1">
        <f>TablaVentas[[#This Row],[Precio Unitario]]*TablaVentas[[#This Row],[Cantidad]]</f>
        <v>804.33</v>
      </c>
      <c r="J27" s="1">
        <f>TablaVentas[[#This Row],[Costo Unitario]]*TablaVentas[[#This Row],[Cantidad]]</f>
        <v>429.75</v>
      </c>
      <c r="K27" s="1">
        <f>TablaVentas[[#This Row],[Total Venta]]-TablaVentas[[#This Row],[Total Costo]]</f>
        <v>374.58000000000004</v>
      </c>
    </row>
    <row r="28" spans="1:11" x14ac:dyDescent="0.25">
      <c r="A28" s="2">
        <v>44947</v>
      </c>
      <c r="B28" s="1" t="s">
        <v>23</v>
      </c>
      <c r="C28" s="1" t="s">
        <v>9</v>
      </c>
      <c r="D28" s="1" t="s">
        <v>17</v>
      </c>
      <c r="E28" s="1" t="s">
        <v>20</v>
      </c>
      <c r="F28" s="1">
        <v>9</v>
      </c>
      <c r="G28" s="1">
        <v>63.86</v>
      </c>
      <c r="H28" s="1">
        <v>41.03</v>
      </c>
      <c r="I28" s="1">
        <f>TablaVentas[[#This Row],[Precio Unitario]]*TablaVentas[[#This Row],[Cantidad]]</f>
        <v>574.74</v>
      </c>
      <c r="J28" s="1">
        <f>TablaVentas[[#This Row],[Costo Unitario]]*TablaVentas[[#This Row],[Cantidad]]</f>
        <v>369.27</v>
      </c>
      <c r="K28" s="1">
        <f>TablaVentas[[#This Row],[Total Venta]]-TablaVentas[[#This Row],[Total Costo]]</f>
        <v>205.47000000000003</v>
      </c>
    </row>
    <row r="29" spans="1:11" x14ac:dyDescent="0.25">
      <c r="A29" s="2">
        <v>44948</v>
      </c>
      <c r="B29" s="1" t="s">
        <v>18</v>
      </c>
      <c r="C29" s="1" t="s">
        <v>19</v>
      </c>
      <c r="D29" s="1" t="s">
        <v>17</v>
      </c>
      <c r="E29" s="1" t="s">
        <v>15</v>
      </c>
      <c r="F29" s="1">
        <v>1</v>
      </c>
      <c r="G29" s="1">
        <v>1161.94</v>
      </c>
      <c r="H29" s="1">
        <v>863.77</v>
      </c>
      <c r="I29" s="1">
        <f>TablaVentas[[#This Row],[Precio Unitario]]*TablaVentas[[#This Row],[Cantidad]]</f>
        <v>1161.94</v>
      </c>
      <c r="J29" s="1">
        <f>TablaVentas[[#This Row],[Costo Unitario]]*TablaVentas[[#This Row],[Cantidad]]</f>
        <v>863.77</v>
      </c>
      <c r="K29" s="1">
        <f>TablaVentas[[#This Row],[Total Venta]]-TablaVentas[[#This Row],[Total Costo]]</f>
        <v>298.17000000000007</v>
      </c>
    </row>
    <row r="30" spans="1:11" x14ac:dyDescent="0.25">
      <c r="A30" s="2">
        <v>44949</v>
      </c>
      <c r="B30" s="1" t="s">
        <v>21</v>
      </c>
      <c r="C30" s="1" t="s">
        <v>19</v>
      </c>
      <c r="D30" s="1" t="s">
        <v>33</v>
      </c>
      <c r="E30" s="1" t="s">
        <v>11</v>
      </c>
      <c r="F30" s="1">
        <v>10</v>
      </c>
      <c r="G30" s="1">
        <v>87.02</v>
      </c>
      <c r="H30" s="1">
        <v>55.5</v>
      </c>
      <c r="I30" s="1">
        <f>TablaVentas[[#This Row],[Precio Unitario]]*TablaVentas[[#This Row],[Cantidad]]</f>
        <v>870.19999999999993</v>
      </c>
      <c r="J30" s="1">
        <f>TablaVentas[[#This Row],[Costo Unitario]]*TablaVentas[[#This Row],[Cantidad]]</f>
        <v>555</v>
      </c>
      <c r="K30" s="1">
        <f>TablaVentas[[#This Row],[Total Venta]]-TablaVentas[[#This Row],[Total Costo]]</f>
        <v>315.19999999999993</v>
      </c>
    </row>
    <row r="31" spans="1:11" x14ac:dyDescent="0.25">
      <c r="A31" s="2">
        <v>44950</v>
      </c>
      <c r="B31" s="1" t="s">
        <v>21</v>
      </c>
      <c r="C31" s="1" t="s">
        <v>19</v>
      </c>
      <c r="D31" s="1" t="s">
        <v>27</v>
      </c>
      <c r="E31" s="1" t="s">
        <v>11</v>
      </c>
      <c r="F31" s="1">
        <v>10</v>
      </c>
      <c r="G31" s="1">
        <v>92.6</v>
      </c>
      <c r="H31" s="1">
        <v>55.92</v>
      </c>
      <c r="I31" s="1">
        <f>TablaVentas[[#This Row],[Precio Unitario]]*TablaVentas[[#This Row],[Cantidad]]</f>
        <v>926</v>
      </c>
      <c r="J31" s="1">
        <f>TablaVentas[[#This Row],[Costo Unitario]]*TablaVentas[[#This Row],[Cantidad]]</f>
        <v>559.20000000000005</v>
      </c>
      <c r="K31" s="1">
        <f>TablaVentas[[#This Row],[Total Venta]]-TablaVentas[[#This Row],[Total Costo]]</f>
        <v>366.79999999999995</v>
      </c>
    </row>
    <row r="32" spans="1:11" x14ac:dyDescent="0.25">
      <c r="A32" s="2">
        <v>44950</v>
      </c>
      <c r="B32" s="1" t="s">
        <v>16</v>
      </c>
      <c r="C32" s="1" t="s">
        <v>13</v>
      </c>
      <c r="D32" s="1" t="s">
        <v>27</v>
      </c>
      <c r="E32" s="1" t="s">
        <v>15</v>
      </c>
      <c r="F32" s="1">
        <v>2</v>
      </c>
      <c r="G32" s="1">
        <v>54.49</v>
      </c>
      <c r="H32" s="1">
        <v>33.03</v>
      </c>
      <c r="I32" s="1">
        <f>TablaVentas[[#This Row],[Precio Unitario]]*TablaVentas[[#This Row],[Cantidad]]</f>
        <v>108.98</v>
      </c>
      <c r="J32" s="1">
        <f>TablaVentas[[#This Row],[Costo Unitario]]*TablaVentas[[#This Row],[Cantidad]]</f>
        <v>66.06</v>
      </c>
      <c r="K32" s="1">
        <f>TablaVentas[[#This Row],[Total Venta]]-TablaVentas[[#This Row],[Total Costo]]</f>
        <v>42.92</v>
      </c>
    </row>
    <row r="33" spans="1:11" x14ac:dyDescent="0.25">
      <c r="A33" s="2">
        <v>44951</v>
      </c>
      <c r="B33" s="1" t="s">
        <v>18</v>
      </c>
      <c r="C33" s="1" t="s">
        <v>19</v>
      </c>
      <c r="D33" s="1" t="s">
        <v>17</v>
      </c>
      <c r="E33" s="1" t="s">
        <v>22</v>
      </c>
      <c r="F33" s="1">
        <v>10</v>
      </c>
      <c r="G33" s="1">
        <v>1355.51</v>
      </c>
      <c r="H33" s="1">
        <v>774.8</v>
      </c>
      <c r="I33" s="1">
        <f>TablaVentas[[#This Row],[Precio Unitario]]*TablaVentas[[#This Row],[Cantidad]]</f>
        <v>13555.1</v>
      </c>
      <c r="J33" s="1">
        <f>TablaVentas[[#This Row],[Costo Unitario]]*TablaVentas[[#This Row],[Cantidad]]</f>
        <v>7748</v>
      </c>
      <c r="K33" s="1">
        <f>TablaVentas[[#This Row],[Total Venta]]-TablaVentas[[#This Row],[Total Costo]]</f>
        <v>5807.1</v>
      </c>
    </row>
    <row r="34" spans="1:11" x14ac:dyDescent="0.25">
      <c r="A34" s="2">
        <v>44953</v>
      </c>
      <c r="B34" s="1" t="s">
        <v>32</v>
      </c>
      <c r="C34" s="1" t="s">
        <v>30</v>
      </c>
      <c r="D34" s="1" t="s">
        <v>14</v>
      </c>
      <c r="E34" s="1" t="s">
        <v>15</v>
      </c>
      <c r="F34" s="1">
        <v>3</v>
      </c>
      <c r="G34" s="1">
        <v>278.44</v>
      </c>
      <c r="H34" s="1">
        <v>224.08</v>
      </c>
      <c r="I34" s="1">
        <f>TablaVentas[[#This Row],[Precio Unitario]]*TablaVentas[[#This Row],[Cantidad]]</f>
        <v>835.31999999999994</v>
      </c>
      <c r="J34" s="1">
        <f>TablaVentas[[#This Row],[Costo Unitario]]*TablaVentas[[#This Row],[Cantidad]]</f>
        <v>672.24</v>
      </c>
      <c r="K34" s="1">
        <f>TablaVentas[[#This Row],[Total Venta]]-TablaVentas[[#This Row],[Total Costo]]</f>
        <v>163.07999999999993</v>
      </c>
    </row>
    <row r="35" spans="1:11" x14ac:dyDescent="0.25">
      <c r="A35" s="2">
        <v>44954</v>
      </c>
      <c r="B35" s="1" t="s">
        <v>18</v>
      </c>
      <c r="C35" s="1" t="s">
        <v>19</v>
      </c>
      <c r="D35" s="1" t="s">
        <v>10</v>
      </c>
      <c r="E35" s="1" t="s">
        <v>22</v>
      </c>
      <c r="F35" s="1">
        <v>5</v>
      </c>
      <c r="G35" s="1">
        <v>1157.94</v>
      </c>
      <c r="H35" s="1">
        <v>767.8</v>
      </c>
      <c r="I35" s="1">
        <f>TablaVentas[[#This Row],[Precio Unitario]]*TablaVentas[[#This Row],[Cantidad]]</f>
        <v>5789.7000000000007</v>
      </c>
      <c r="J35" s="1">
        <f>TablaVentas[[#This Row],[Costo Unitario]]*TablaVentas[[#This Row],[Cantidad]]</f>
        <v>3839</v>
      </c>
      <c r="K35" s="1">
        <f>TablaVentas[[#This Row],[Total Venta]]-TablaVentas[[#This Row],[Total Costo]]</f>
        <v>1950.7000000000007</v>
      </c>
    </row>
    <row r="36" spans="1:11" x14ac:dyDescent="0.25">
      <c r="A36" s="2">
        <v>44954</v>
      </c>
      <c r="B36" s="1" t="s">
        <v>16</v>
      </c>
      <c r="C36" s="1" t="s">
        <v>13</v>
      </c>
      <c r="D36" s="1" t="s">
        <v>24</v>
      </c>
      <c r="E36" s="1" t="s">
        <v>28</v>
      </c>
      <c r="F36" s="1">
        <v>2</v>
      </c>
      <c r="G36" s="1">
        <v>58.89</v>
      </c>
      <c r="H36" s="1">
        <v>34.96</v>
      </c>
      <c r="I36" s="1">
        <f>TablaVentas[[#This Row],[Precio Unitario]]*TablaVentas[[#This Row],[Cantidad]]</f>
        <v>117.78</v>
      </c>
      <c r="J36" s="1">
        <f>TablaVentas[[#This Row],[Costo Unitario]]*TablaVentas[[#This Row],[Cantidad]]</f>
        <v>69.92</v>
      </c>
      <c r="K36" s="1">
        <f>TablaVentas[[#This Row],[Total Venta]]-TablaVentas[[#This Row],[Total Costo]]</f>
        <v>47.86</v>
      </c>
    </row>
    <row r="37" spans="1:11" x14ac:dyDescent="0.25">
      <c r="A37" s="2">
        <v>44955</v>
      </c>
      <c r="B37" s="1" t="s">
        <v>32</v>
      </c>
      <c r="C37" s="1" t="s">
        <v>30</v>
      </c>
      <c r="D37" s="1" t="s">
        <v>25</v>
      </c>
      <c r="E37" s="1" t="s">
        <v>11</v>
      </c>
      <c r="F37" s="1">
        <v>7</v>
      </c>
      <c r="G37" s="1">
        <v>289.25</v>
      </c>
      <c r="H37" s="1">
        <v>207.24</v>
      </c>
      <c r="I37" s="1">
        <f>TablaVentas[[#This Row],[Precio Unitario]]*TablaVentas[[#This Row],[Cantidad]]</f>
        <v>2024.75</v>
      </c>
      <c r="J37" s="1">
        <f>TablaVentas[[#This Row],[Costo Unitario]]*TablaVentas[[#This Row],[Cantidad]]</f>
        <v>1450.68</v>
      </c>
      <c r="K37" s="1">
        <f>TablaVentas[[#This Row],[Total Venta]]-TablaVentas[[#This Row],[Total Costo]]</f>
        <v>574.06999999999994</v>
      </c>
    </row>
    <row r="38" spans="1:11" x14ac:dyDescent="0.25">
      <c r="A38" s="2">
        <v>44955</v>
      </c>
      <c r="B38" s="1" t="s">
        <v>26</v>
      </c>
      <c r="C38" s="1" t="s">
        <v>19</v>
      </c>
      <c r="D38" s="1" t="s">
        <v>25</v>
      </c>
      <c r="E38" s="1" t="s">
        <v>11</v>
      </c>
      <c r="F38" s="1">
        <v>10</v>
      </c>
      <c r="G38" s="1">
        <v>45.6</v>
      </c>
      <c r="H38" s="1">
        <v>26.6</v>
      </c>
      <c r="I38" s="1">
        <f>TablaVentas[[#This Row],[Precio Unitario]]*TablaVentas[[#This Row],[Cantidad]]</f>
        <v>456</v>
      </c>
      <c r="J38" s="1">
        <f>TablaVentas[[#This Row],[Costo Unitario]]*TablaVentas[[#This Row],[Cantidad]]</f>
        <v>266</v>
      </c>
      <c r="K38" s="1">
        <f>TablaVentas[[#This Row],[Total Venta]]-TablaVentas[[#This Row],[Total Costo]]</f>
        <v>190</v>
      </c>
    </row>
    <row r="39" spans="1:11" x14ac:dyDescent="0.25">
      <c r="A39" s="2">
        <v>44955</v>
      </c>
      <c r="B39" s="1" t="s">
        <v>21</v>
      </c>
      <c r="C39" s="1" t="s">
        <v>19</v>
      </c>
      <c r="D39" s="1" t="s">
        <v>25</v>
      </c>
      <c r="E39" s="1" t="s">
        <v>11</v>
      </c>
      <c r="F39" s="1">
        <v>10</v>
      </c>
      <c r="G39" s="1">
        <v>87.1</v>
      </c>
      <c r="H39" s="1">
        <v>50.85</v>
      </c>
      <c r="I39" s="1">
        <f>TablaVentas[[#This Row],[Precio Unitario]]*TablaVentas[[#This Row],[Cantidad]]</f>
        <v>871</v>
      </c>
      <c r="J39" s="1">
        <f>TablaVentas[[#This Row],[Costo Unitario]]*TablaVentas[[#This Row],[Cantidad]]</f>
        <v>508.5</v>
      </c>
      <c r="K39" s="1">
        <f>TablaVentas[[#This Row],[Total Venta]]-TablaVentas[[#This Row],[Total Costo]]</f>
        <v>362.5</v>
      </c>
    </row>
    <row r="40" spans="1:11" x14ac:dyDescent="0.25">
      <c r="A40" s="2">
        <v>44956</v>
      </c>
      <c r="B40" s="1" t="s">
        <v>21</v>
      </c>
      <c r="C40" s="1" t="s">
        <v>19</v>
      </c>
      <c r="D40" s="1" t="s">
        <v>31</v>
      </c>
      <c r="E40" s="1" t="s">
        <v>22</v>
      </c>
      <c r="F40" s="1">
        <v>10</v>
      </c>
      <c r="G40" s="1">
        <v>81.709999999999994</v>
      </c>
      <c r="H40" s="1">
        <v>47.02</v>
      </c>
      <c r="I40" s="1">
        <f>TablaVentas[[#This Row],[Precio Unitario]]*TablaVentas[[#This Row],[Cantidad]]</f>
        <v>817.09999999999991</v>
      </c>
      <c r="J40" s="1">
        <f>TablaVentas[[#This Row],[Costo Unitario]]*TablaVentas[[#This Row],[Cantidad]]</f>
        <v>470.20000000000005</v>
      </c>
      <c r="K40" s="1">
        <f>TablaVentas[[#This Row],[Total Venta]]-TablaVentas[[#This Row],[Total Costo]]</f>
        <v>346.89999999999986</v>
      </c>
    </row>
    <row r="41" spans="1:11" x14ac:dyDescent="0.25">
      <c r="A41" s="2">
        <v>44956</v>
      </c>
      <c r="B41" s="1" t="s">
        <v>18</v>
      </c>
      <c r="C41" s="1" t="s">
        <v>19</v>
      </c>
      <c r="D41" s="1" t="s">
        <v>33</v>
      </c>
      <c r="E41" s="1" t="s">
        <v>20</v>
      </c>
      <c r="F41" s="1">
        <v>4</v>
      </c>
      <c r="G41" s="1">
        <v>1161.8499999999999</v>
      </c>
      <c r="H41" s="1">
        <v>919.01</v>
      </c>
      <c r="I41" s="1">
        <f>TablaVentas[[#This Row],[Precio Unitario]]*TablaVentas[[#This Row],[Cantidad]]</f>
        <v>4647.3999999999996</v>
      </c>
      <c r="J41" s="1">
        <f>TablaVentas[[#This Row],[Costo Unitario]]*TablaVentas[[#This Row],[Cantidad]]</f>
        <v>3676.04</v>
      </c>
      <c r="K41" s="1">
        <f>TablaVentas[[#This Row],[Total Venta]]-TablaVentas[[#This Row],[Total Costo]]</f>
        <v>971.35999999999967</v>
      </c>
    </row>
    <row r="42" spans="1:11" x14ac:dyDescent="0.25">
      <c r="A42" s="2">
        <v>44957</v>
      </c>
      <c r="B42" s="1" t="s">
        <v>23</v>
      </c>
      <c r="C42" s="1" t="s">
        <v>9</v>
      </c>
      <c r="D42" s="1" t="s">
        <v>17</v>
      </c>
      <c r="E42" s="1" t="s">
        <v>20</v>
      </c>
      <c r="F42" s="1">
        <v>9</v>
      </c>
      <c r="G42" s="1">
        <v>85.88</v>
      </c>
      <c r="H42" s="1">
        <v>45.22</v>
      </c>
      <c r="I42" s="1">
        <f>TablaVentas[[#This Row],[Precio Unitario]]*TablaVentas[[#This Row],[Cantidad]]</f>
        <v>772.92</v>
      </c>
      <c r="J42" s="1">
        <f>TablaVentas[[#This Row],[Costo Unitario]]*TablaVentas[[#This Row],[Cantidad]]</f>
        <v>406.98</v>
      </c>
      <c r="K42" s="1">
        <f>TablaVentas[[#This Row],[Total Venta]]-TablaVentas[[#This Row],[Total Costo]]</f>
        <v>365.93999999999994</v>
      </c>
    </row>
    <row r="43" spans="1:11" x14ac:dyDescent="0.25">
      <c r="A43" s="2">
        <v>44957</v>
      </c>
      <c r="B43" s="1" t="s">
        <v>18</v>
      </c>
      <c r="C43" s="1" t="s">
        <v>19</v>
      </c>
      <c r="D43" s="1" t="s">
        <v>24</v>
      </c>
      <c r="E43" s="1" t="s">
        <v>22</v>
      </c>
      <c r="F43" s="1">
        <v>3</v>
      </c>
      <c r="G43" s="1">
        <v>1059.5</v>
      </c>
      <c r="H43" s="1">
        <v>921.09</v>
      </c>
      <c r="I43" s="1">
        <f>TablaVentas[[#This Row],[Precio Unitario]]*TablaVentas[[#This Row],[Cantidad]]</f>
        <v>3178.5</v>
      </c>
      <c r="J43" s="1">
        <f>TablaVentas[[#This Row],[Costo Unitario]]*TablaVentas[[#This Row],[Cantidad]]</f>
        <v>2763.27</v>
      </c>
      <c r="K43" s="1">
        <f>TablaVentas[[#This Row],[Total Venta]]-TablaVentas[[#This Row],[Total Costo]]</f>
        <v>415.23</v>
      </c>
    </row>
    <row r="44" spans="1:11" x14ac:dyDescent="0.25">
      <c r="A44" s="2">
        <v>44958</v>
      </c>
      <c r="B44" s="1" t="s">
        <v>29</v>
      </c>
      <c r="C44" s="1" t="s">
        <v>30</v>
      </c>
      <c r="D44" s="1" t="s">
        <v>14</v>
      </c>
      <c r="E44" s="1" t="s">
        <v>28</v>
      </c>
      <c r="F44" s="1">
        <v>9</v>
      </c>
      <c r="G44" s="1">
        <v>410.81</v>
      </c>
      <c r="H44" s="1">
        <v>308.06</v>
      </c>
      <c r="I44" s="1">
        <f>TablaVentas[[#This Row],[Precio Unitario]]*TablaVentas[[#This Row],[Cantidad]]</f>
        <v>3697.29</v>
      </c>
      <c r="J44" s="1">
        <f>TablaVentas[[#This Row],[Costo Unitario]]*TablaVentas[[#This Row],[Cantidad]]</f>
        <v>2772.54</v>
      </c>
      <c r="K44" s="1">
        <f>TablaVentas[[#This Row],[Total Venta]]-TablaVentas[[#This Row],[Total Costo]]</f>
        <v>924.75</v>
      </c>
    </row>
    <row r="45" spans="1:11" x14ac:dyDescent="0.25">
      <c r="A45" s="2">
        <v>44959</v>
      </c>
      <c r="B45" s="1" t="s">
        <v>23</v>
      </c>
      <c r="C45" s="1" t="s">
        <v>9</v>
      </c>
      <c r="D45" s="1" t="s">
        <v>17</v>
      </c>
      <c r="E45" s="1" t="s">
        <v>15</v>
      </c>
      <c r="F45" s="1">
        <v>9</v>
      </c>
      <c r="G45" s="1">
        <v>64.430000000000007</v>
      </c>
      <c r="H45" s="1">
        <v>45.67</v>
      </c>
      <c r="I45" s="1">
        <f>TablaVentas[[#This Row],[Precio Unitario]]*TablaVentas[[#This Row],[Cantidad]]</f>
        <v>579.87000000000012</v>
      </c>
      <c r="J45" s="1">
        <f>TablaVentas[[#This Row],[Costo Unitario]]*TablaVentas[[#This Row],[Cantidad]]</f>
        <v>411.03000000000003</v>
      </c>
      <c r="K45" s="1">
        <f>TablaVentas[[#This Row],[Total Venta]]-TablaVentas[[#This Row],[Total Costo]]</f>
        <v>168.84000000000009</v>
      </c>
    </row>
    <row r="46" spans="1:11" x14ac:dyDescent="0.25">
      <c r="A46" s="2">
        <v>44959</v>
      </c>
      <c r="B46" s="1" t="s">
        <v>26</v>
      </c>
      <c r="C46" s="1" t="s">
        <v>19</v>
      </c>
      <c r="D46" s="1" t="s">
        <v>33</v>
      </c>
      <c r="E46" s="1" t="s">
        <v>20</v>
      </c>
      <c r="F46" s="1">
        <v>8</v>
      </c>
      <c r="G46" s="1">
        <v>44.99</v>
      </c>
      <c r="H46" s="1">
        <v>23.63</v>
      </c>
      <c r="I46" s="1">
        <f>TablaVentas[[#This Row],[Precio Unitario]]*TablaVentas[[#This Row],[Cantidad]]</f>
        <v>359.92</v>
      </c>
      <c r="J46" s="1">
        <f>TablaVentas[[#This Row],[Costo Unitario]]*TablaVentas[[#This Row],[Cantidad]]</f>
        <v>189.04</v>
      </c>
      <c r="K46" s="1">
        <f>TablaVentas[[#This Row],[Total Venta]]-TablaVentas[[#This Row],[Total Costo]]</f>
        <v>170.88000000000002</v>
      </c>
    </row>
    <row r="47" spans="1:11" x14ac:dyDescent="0.25">
      <c r="A47" s="2">
        <v>44959</v>
      </c>
      <c r="B47" s="1" t="s">
        <v>18</v>
      </c>
      <c r="C47" s="1" t="s">
        <v>19</v>
      </c>
      <c r="D47" s="1" t="s">
        <v>31</v>
      </c>
      <c r="E47" s="1" t="s">
        <v>22</v>
      </c>
      <c r="F47" s="1">
        <v>6</v>
      </c>
      <c r="G47" s="1">
        <v>1345.59</v>
      </c>
      <c r="H47" s="1">
        <v>819.63</v>
      </c>
      <c r="I47" s="1">
        <f>TablaVentas[[#This Row],[Precio Unitario]]*TablaVentas[[#This Row],[Cantidad]]</f>
        <v>8073.5399999999991</v>
      </c>
      <c r="J47" s="1">
        <f>TablaVentas[[#This Row],[Costo Unitario]]*TablaVentas[[#This Row],[Cantidad]]</f>
        <v>4917.78</v>
      </c>
      <c r="K47" s="1">
        <f>TablaVentas[[#This Row],[Total Venta]]-TablaVentas[[#This Row],[Total Costo]]</f>
        <v>3155.7599999999993</v>
      </c>
    </row>
    <row r="48" spans="1:11" x14ac:dyDescent="0.25">
      <c r="A48" s="2">
        <v>44960</v>
      </c>
      <c r="B48" s="1" t="s">
        <v>21</v>
      </c>
      <c r="C48" s="1" t="s">
        <v>19</v>
      </c>
      <c r="D48" s="1" t="s">
        <v>25</v>
      </c>
      <c r="E48" s="1" t="s">
        <v>11</v>
      </c>
      <c r="F48" s="1">
        <v>10</v>
      </c>
      <c r="G48" s="1">
        <v>101.81</v>
      </c>
      <c r="H48" s="1">
        <v>50.97</v>
      </c>
      <c r="I48" s="1">
        <f>TablaVentas[[#This Row],[Precio Unitario]]*TablaVentas[[#This Row],[Cantidad]]</f>
        <v>1018.1</v>
      </c>
      <c r="J48" s="1">
        <f>TablaVentas[[#This Row],[Costo Unitario]]*TablaVentas[[#This Row],[Cantidad]]</f>
        <v>509.7</v>
      </c>
      <c r="K48" s="1">
        <f>TablaVentas[[#This Row],[Total Venta]]-TablaVentas[[#This Row],[Total Costo]]</f>
        <v>508.40000000000003</v>
      </c>
    </row>
    <row r="49" spans="1:11" x14ac:dyDescent="0.25">
      <c r="A49" s="2">
        <v>44961</v>
      </c>
      <c r="B49" s="1" t="s">
        <v>16</v>
      </c>
      <c r="C49" s="1" t="s">
        <v>13</v>
      </c>
      <c r="D49" s="1" t="s">
        <v>17</v>
      </c>
      <c r="E49" s="1" t="s">
        <v>15</v>
      </c>
      <c r="F49" s="1">
        <v>10</v>
      </c>
      <c r="G49" s="1">
        <v>56.78</v>
      </c>
      <c r="H49" s="1">
        <v>33.06</v>
      </c>
      <c r="I49" s="1">
        <f>TablaVentas[[#This Row],[Precio Unitario]]*TablaVentas[[#This Row],[Cantidad]]</f>
        <v>567.79999999999995</v>
      </c>
      <c r="J49" s="1">
        <f>TablaVentas[[#This Row],[Costo Unitario]]*TablaVentas[[#This Row],[Cantidad]]</f>
        <v>330.6</v>
      </c>
      <c r="K49" s="1">
        <f>TablaVentas[[#This Row],[Total Venta]]-TablaVentas[[#This Row],[Total Costo]]</f>
        <v>237.19999999999993</v>
      </c>
    </row>
    <row r="50" spans="1:11" x14ac:dyDescent="0.25">
      <c r="A50" s="2">
        <v>44963</v>
      </c>
      <c r="B50" s="1" t="s">
        <v>8</v>
      </c>
      <c r="C50" s="1" t="s">
        <v>9</v>
      </c>
      <c r="D50" s="1" t="s">
        <v>17</v>
      </c>
      <c r="E50" s="1" t="s">
        <v>22</v>
      </c>
      <c r="F50" s="1">
        <v>4</v>
      </c>
      <c r="G50" s="1">
        <v>776.44</v>
      </c>
      <c r="H50" s="1">
        <v>509.21</v>
      </c>
      <c r="I50" s="1">
        <f>TablaVentas[[#This Row],[Precio Unitario]]*TablaVentas[[#This Row],[Cantidad]]</f>
        <v>3105.76</v>
      </c>
      <c r="J50" s="1">
        <f>TablaVentas[[#This Row],[Costo Unitario]]*TablaVentas[[#This Row],[Cantidad]]</f>
        <v>2036.84</v>
      </c>
      <c r="K50" s="1">
        <f>TablaVentas[[#This Row],[Total Venta]]-TablaVentas[[#This Row],[Total Costo]]</f>
        <v>1068.9200000000003</v>
      </c>
    </row>
    <row r="51" spans="1:11" x14ac:dyDescent="0.25">
      <c r="A51" s="2">
        <v>44963</v>
      </c>
      <c r="B51" s="1" t="s">
        <v>29</v>
      </c>
      <c r="C51" s="1" t="s">
        <v>30</v>
      </c>
      <c r="D51" s="1" t="s">
        <v>14</v>
      </c>
      <c r="E51" s="1" t="s">
        <v>22</v>
      </c>
      <c r="F51" s="1">
        <v>7</v>
      </c>
      <c r="G51" s="1">
        <v>429.87</v>
      </c>
      <c r="H51" s="1">
        <v>293.55</v>
      </c>
      <c r="I51" s="1">
        <f>TablaVentas[[#This Row],[Precio Unitario]]*TablaVentas[[#This Row],[Cantidad]]</f>
        <v>3009.09</v>
      </c>
      <c r="J51" s="1">
        <f>TablaVentas[[#This Row],[Costo Unitario]]*TablaVentas[[#This Row],[Cantidad]]</f>
        <v>2054.85</v>
      </c>
      <c r="K51" s="1">
        <f>TablaVentas[[#This Row],[Total Venta]]-TablaVentas[[#This Row],[Total Costo]]</f>
        <v>954.24000000000024</v>
      </c>
    </row>
    <row r="52" spans="1:11" x14ac:dyDescent="0.25">
      <c r="A52" s="2">
        <v>44963</v>
      </c>
      <c r="B52" s="1" t="s">
        <v>12</v>
      </c>
      <c r="C52" s="1" t="s">
        <v>13</v>
      </c>
      <c r="D52" s="1" t="s">
        <v>14</v>
      </c>
      <c r="E52" s="1" t="s">
        <v>22</v>
      </c>
      <c r="F52" s="1">
        <v>4</v>
      </c>
      <c r="G52" s="1">
        <v>72.69</v>
      </c>
      <c r="H52" s="1">
        <v>39.44</v>
      </c>
      <c r="I52" s="1">
        <f>TablaVentas[[#This Row],[Precio Unitario]]*TablaVentas[[#This Row],[Cantidad]]</f>
        <v>290.76</v>
      </c>
      <c r="J52" s="1">
        <f>TablaVentas[[#This Row],[Costo Unitario]]*TablaVentas[[#This Row],[Cantidad]]</f>
        <v>157.76</v>
      </c>
      <c r="K52" s="1">
        <f>TablaVentas[[#This Row],[Total Venta]]-TablaVentas[[#This Row],[Total Costo]]</f>
        <v>133</v>
      </c>
    </row>
    <row r="53" spans="1:11" x14ac:dyDescent="0.25">
      <c r="A53" s="2">
        <v>44965</v>
      </c>
      <c r="B53" s="1" t="s">
        <v>8</v>
      </c>
      <c r="C53" s="1" t="s">
        <v>9</v>
      </c>
      <c r="D53" s="1" t="s">
        <v>25</v>
      </c>
      <c r="E53" s="1" t="s">
        <v>22</v>
      </c>
      <c r="F53" s="1">
        <v>5</v>
      </c>
      <c r="G53" s="1">
        <v>747.46</v>
      </c>
      <c r="H53" s="1">
        <v>511.33</v>
      </c>
      <c r="I53" s="1">
        <f>TablaVentas[[#This Row],[Precio Unitario]]*TablaVentas[[#This Row],[Cantidad]]</f>
        <v>3737.3</v>
      </c>
      <c r="J53" s="1">
        <f>TablaVentas[[#This Row],[Costo Unitario]]*TablaVentas[[#This Row],[Cantidad]]</f>
        <v>2556.65</v>
      </c>
      <c r="K53" s="1">
        <f>TablaVentas[[#This Row],[Total Venta]]-TablaVentas[[#This Row],[Total Costo]]</f>
        <v>1180.6500000000001</v>
      </c>
    </row>
    <row r="54" spans="1:11" x14ac:dyDescent="0.25">
      <c r="A54" s="2">
        <v>44967</v>
      </c>
      <c r="B54" s="1" t="s">
        <v>32</v>
      </c>
      <c r="C54" s="1" t="s">
        <v>30</v>
      </c>
      <c r="D54" s="1" t="s">
        <v>17</v>
      </c>
      <c r="E54" s="1" t="s">
        <v>22</v>
      </c>
      <c r="F54" s="1">
        <v>6</v>
      </c>
      <c r="G54" s="1">
        <v>279.08</v>
      </c>
      <c r="H54" s="1">
        <v>223.37</v>
      </c>
      <c r="I54" s="1">
        <f>TablaVentas[[#This Row],[Precio Unitario]]*TablaVentas[[#This Row],[Cantidad]]</f>
        <v>1674.48</v>
      </c>
      <c r="J54" s="1">
        <f>TablaVentas[[#This Row],[Costo Unitario]]*TablaVentas[[#This Row],[Cantidad]]</f>
        <v>1340.22</v>
      </c>
      <c r="K54" s="1">
        <f>TablaVentas[[#This Row],[Total Venta]]-TablaVentas[[#This Row],[Total Costo]]</f>
        <v>334.26</v>
      </c>
    </row>
    <row r="55" spans="1:11" x14ac:dyDescent="0.25">
      <c r="A55" s="2">
        <v>44967</v>
      </c>
      <c r="B55" s="1" t="s">
        <v>34</v>
      </c>
      <c r="C55" s="1" t="s">
        <v>13</v>
      </c>
      <c r="D55" s="1" t="s">
        <v>10</v>
      </c>
      <c r="E55" s="1" t="s">
        <v>20</v>
      </c>
      <c r="F55" s="1">
        <v>4</v>
      </c>
      <c r="G55" s="1">
        <v>300.85000000000002</v>
      </c>
      <c r="H55" s="1">
        <v>207.27</v>
      </c>
      <c r="I55" s="1">
        <f>TablaVentas[[#This Row],[Precio Unitario]]*TablaVentas[[#This Row],[Cantidad]]</f>
        <v>1203.4000000000001</v>
      </c>
      <c r="J55" s="1">
        <f>TablaVentas[[#This Row],[Costo Unitario]]*TablaVentas[[#This Row],[Cantidad]]</f>
        <v>829.08</v>
      </c>
      <c r="K55" s="1">
        <f>TablaVentas[[#This Row],[Total Venta]]-TablaVentas[[#This Row],[Total Costo]]</f>
        <v>374.32000000000005</v>
      </c>
    </row>
    <row r="56" spans="1:11" x14ac:dyDescent="0.25">
      <c r="A56" s="2">
        <v>44968</v>
      </c>
      <c r="B56" s="1" t="s">
        <v>26</v>
      </c>
      <c r="C56" s="1" t="s">
        <v>19</v>
      </c>
      <c r="D56" s="1" t="s">
        <v>27</v>
      </c>
      <c r="E56" s="1" t="s">
        <v>15</v>
      </c>
      <c r="F56" s="1">
        <v>8</v>
      </c>
      <c r="G56" s="1">
        <v>41.82</v>
      </c>
      <c r="H56" s="1">
        <v>23.19</v>
      </c>
      <c r="I56" s="1">
        <f>TablaVentas[[#This Row],[Precio Unitario]]*TablaVentas[[#This Row],[Cantidad]]</f>
        <v>334.56</v>
      </c>
      <c r="J56" s="1">
        <f>TablaVentas[[#This Row],[Costo Unitario]]*TablaVentas[[#This Row],[Cantidad]]</f>
        <v>185.52</v>
      </c>
      <c r="K56" s="1">
        <f>TablaVentas[[#This Row],[Total Venta]]-TablaVentas[[#This Row],[Total Costo]]</f>
        <v>149.04</v>
      </c>
    </row>
    <row r="57" spans="1:11" x14ac:dyDescent="0.25">
      <c r="A57" s="2">
        <v>44970</v>
      </c>
      <c r="B57" s="1" t="s">
        <v>26</v>
      </c>
      <c r="C57" s="1" t="s">
        <v>19</v>
      </c>
      <c r="D57" s="1" t="s">
        <v>33</v>
      </c>
      <c r="E57" s="1" t="s">
        <v>20</v>
      </c>
      <c r="F57" s="1">
        <v>5</v>
      </c>
      <c r="G57" s="1">
        <v>49.81</v>
      </c>
      <c r="H57" s="1">
        <v>22.78</v>
      </c>
      <c r="I57" s="1">
        <f>TablaVentas[[#This Row],[Precio Unitario]]*TablaVentas[[#This Row],[Cantidad]]</f>
        <v>249.05</v>
      </c>
      <c r="J57" s="1">
        <f>TablaVentas[[#This Row],[Costo Unitario]]*TablaVentas[[#This Row],[Cantidad]]</f>
        <v>113.9</v>
      </c>
      <c r="K57" s="1">
        <f>TablaVentas[[#This Row],[Total Venta]]-TablaVentas[[#This Row],[Total Costo]]</f>
        <v>135.15</v>
      </c>
    </row>
    <row r="58" spans="1:11" x14ac:dyDescent="0.25">
      <c r="A58" s="2">
        <v>44970</v>
      </c>
      <c r="B58" s="1" t="s">
        <v>34</v>
      </c>
      <c r="C58" s="1" t="s">
        <v>13</v>
      </c>
      <c r="D58" s="1" t="s">
        <v>24</v>
      </c>
      <c r="E58" s="1" t="s">
        <v>20</v>
      </c>
      <c r="F58" s="1">
        <v>8</v>
      </c>
      <c r="G58" s="1">
        <v>293.35000000000002</v>
      </c>
      <c r="H58" s="1">
        <v>178.04</v>
      </c>
      <c r="I58" s="1">
        <f>TablaVentas[[#This Row],[Precio Unitario]]*TablaVentas[[#This Row],[Cantidad]]</f>
        <v>2346.8000000000002</v>
      </c>
      <c r="J58" s="1">
        <f>TablaVentas[[#This Row],[Costo Unitario]]*TablaVentas[[#This Row],[Cantidad]]</f>
        <v>1424.32</v>
      </c>
      <c r="K58" s="1">
        <f>TablaVentas[[#This Row],[Total Venta]]-TablaVentas[[#This Row],[Total Costo]]</f>
        <v>922.48000000000025</v>
      </c>
    </row>
    <row r="59" spans="1:11" x14ac:dyDescent="0.25">
      <c r="A59" s="2">
        <v>44970</v>
      </c>
      <c r="B59" s="1" t="s">
        <v>12</v>
      </c>
      <c r="C59" s="1" t="s">
        <v>13</v>
      </c>
      <c r="D59" s="1" t="s">
        <v>25</v>
      </c>
      <c r="E59" s="1" t="s">
        <v>11</v>
      </c>
      <c r="F59" s="1">
        <v>3</v>
      </c>
      <c r="G59" s="1">
        <v>60.17</v>
      </c>
      <c r="H59" s="1">
        <v>43.01</v>
      </c>
      <c r="I59" s="1">
        <f>TablaVentas[[#This Row],[Precio Unitario]]*TablaVentas[[#This Row],[Cantidad]]</f>
        <v>180.51</v>
      </c>
      <c r="J59" s="1">
        <f>TablaVentas[[#This Row],[Costo Unitario]]*TablaVentas[[#This Row],[Cantidad]]</f>
        <v>129.03</v>
      </c>
      <c r="K59" s="1">
        <f>TablaVentas[[#This Row],[Total Venta]]-TablaVentas[[#This Row],[Total Costo]]</f>
        <v>51.47999999999999</v>
      </c>
    </row>
    <row r="60" spans="1:11" x14ac:dyDescent="0.25">
      <c r="A60" s="2">
        <v>44971</v>
      </c>
      <c r="B60" s="1" t="s">
        <v>32</v>
      </c>
      <c r="C60" s="1" t="s">
        <v>30</v>
      </c>
      <c r="D60" s="1" t="s">
        <v>33</v>
      </c>
      <c r="E60" s="1" t="s">
        <v>20</v>
      </c>
      <c r="F60" s="1">
        <v>2</v>
      </c>
      <c r="G60" s="1">
        <v>317.55</v>
      </c>
      <c r="H60" s="1">
        <v>199.81</v>
      </c>
      <c r="I60" s="1">
        <f>TablaVentas[[#This Row],[Precio Unitario]]*TablaVentas[[#This Row],[Cantidad]]</f>
        <v>635.1</v>
      </c>
      <c r="J60" s="1">
        <f>TablaVentas[[#This Row],[Costo Unitario]]*TablaVentas[[#This Row],[Cantidad]]</f>
        <v>399.62</v>
      </c>
      <c r="K60" s="1">
        <f>TablaVentas[[#This Row],[Total Venta]]-TablaVentas[[#This Row],[Total Costo]]</f>
        <v>235.48000000000002</v>
      </c>
    </row>
    <row r="61" spans="1:11" x14ac:dyDescent="0.25">
      <c r="A61" s="2">
        <v>44973</v>
      </c>
      <c r="B61" s="1" t="s">
        <v>12</v>
      </c>
      <c r="C61" s="1" t="s">
        <v>13</v>
      </c>
      <c r="D61" s="1" t="s">
        <v>14</v>
      </c>
      <c r="E61" s="1" t="s">
        <v>20</v>
      </c>
      <c r="F61" s="1">
        <v>4</v>
      </c>
      <c r="G61" s="1">
        <v>72.05</v>
      </c>
      <c r="H61" s="1">
        <v>38.83</v>
      </c>
      <c r="I61" s="1">
        <f>TablaVentas[[#This Row],[Precio Unitario]]*TablaVentas[[#This Row],[Cantidad]]</f>
        <v>288.2</v>
      </c>
      <c r="J61" s="1">
        <f>TablaVentas[[#This Row],[Costo Unitario]]*TablaVentas[[#This Row],[Cantidad]]</f>
        <v>155.32</v>
      </c>
      <c r="K61" s="1">
        <f>TablaVentas[[#This Row],[Total Venta]]-TablaVentas[[#This Row],[Total Costo]]</f>
        <v>132.88</v>
      </c>
    </row>
    <row r="62" spans="1:11" x14ac:dyDescent="0.25">
      <c r="A62" s="2">
        <v>44975</v>
      </c>
      <c r="B62" s="1" t="s">
        <v>32</v>
      </c>
      <c r="C62" s="1" t="s">
        <v>30</v>
      </c>
      <c r="D62" s="1" t="s">
        <v>14</v>
      </c>
      <c r="E62" s="1" t="s">
        <v>20</v>
      </c>
      <c r="F62" s="1">
        <v>6</v>
      </c>
      <c r="G62" s="1">
        <v>313.99</v>
      </c>
      <c r="H62" s="1">
        <v>195.71</v>
      </c>
      <c r="I62" s="1">
        <f>TablaVentas[[#This Row],[Precio Unitario]]*TablaVentas[[#This Row],[Cantidad]]</f>
        <v>1883.94</v>
      </c>
      <c r="J62" s="1">
        <f>TablaVentas[[#This Row],[Costo Unitario]]*TablaVentas[[#This Row],[Cantidad]]</f>
        <v>1174.26</v>
      </c>
      <c r="K62" s="1">
        <f>TablaVentas[[#This Row],[Total Venta]]-TablaVentas[[#This Row],[Total Costo]]</f>
        <v>709.68000000000006</v>
      </c>
    </row>
    <row r="63" spans="1:11" x14ac:dyDescent="0.25">
      <c r="A63" s="2">
        <v>44976</v>
      </c>
      <c r="B63" s="1" t="s">
        <v>23</v>
      </c>
      <c r="C63" s="1" t="s">
        <v>9</v>
      </c>
      <c r="D63" s="1" t="s">
        <v>33</v>
      </c>
      <c r="E63" s="1" t="s">
        <v>11</v>
      </c>
      <c r="F63" s="1">
        <v>7</v>
      </c>
      <c r="G63" s="1">
        <v>72.8</v>
      </c>
      <c r="H63" s="1">
        <v>43.96</v>
      </c>
      <c r="I63" s="1">
        <f>TablaVentas[[#This Row],[Precio Unitario]]*TablaVentas[[#This Row],[Cantidad]]</f>
        <v>509.59999999999997</v>
      </c>
      <c r="J63" s="1">
        <f>TablaVentas[[#This Row],[Costo Unitario]]*TablaVentas[[#This Row],[Cantidad]]</f>
        <v>307.72000000000003</v>
      </c>
      <c r="K63" s="1">
        <f>TablaVentas[[#This Row],[Total Venta]]-TablaVentas[[#This Row],[Total Costo]]</f>
        <v>201.87999999999994</v>
      </c>
    </row>
    <row r="64" spans="1:11" x14ac:dyDescent="0.25">
      <c r="A64" s="2">
        <v>44976</v>
      </c>
      <c r="B64" s="1" t="s">
        <v>29</v>
      </c>
      <c r="C64" s="1" t="s">
        <v>30</v>
      </c>
      <c r="D64" s="1" t="s">
        <v>31</v>
      </c>
      <c r="E64" s="1" t="s">
        <v>28</v>
      </c>
      <c r="F64" s="1">
        <v>8</v>
      </c>
      <c r="G64" s="1">
        <v>444.12</v>
      </c>
      <c r="H64" s="1">
        <v>279.55</v>
      </c>
      <c r="I64" s="1">
        <f>TablaVentas[[#This Row],[Precio Unitario]]*TablaVentas[[#This Row],[Cantidad]]</f>
        <v>3552.96</v>
      </c>
      <c r="J64" s="1">
        <f>TablaVentas[[#This Row],[Costo Unitario]]*TablaVentas[[#This Row],[Cantidad]]</f>
        <v>2236.4</v>
      </c>
      <c r="K64" s="1">
        <f>TablaVentas[[#This Row],[Total Venta]]-TablaVentas[[#This Row],[Total Costo]]</f>
        <v>1316.56</v>
      </c>
    </row>
    <row r="65" spans="1:11" x14ac:dyDescent="0.25">
      <c r="A65" s="2">
        <v>44976</v>
      </c>
      <c r="B65" s="1" t="s">
        <v>29</v>
      </c>
      <c r="C65" s="1" t="s">
        <v>30</v>
      </c>
      <c r="D65" s="1" t="s">
        <v>14</v>
      </c>
      <c r="E65" s="1" t="s">
        <v>20</v>
      </c>
      <c r="F65" s="1">
        <v>2</v>
      </c>
      <c r="G65" s="1">
        <v>474.23</v>
      </c>
      <c r="H65" s="1">
        <v>290.10000000000002</v>
      </c>
      <c r="I65" s="1">
        <f>TablaVentas[[#This Row],[Precio Unitario]]*TablaVentas[[#This Row],[Cantidad]]</f>
        <v>948.46</v>
      </c>
      <c r="J65" s="1">
        <f>TablaVentas[[#This Row],[Costo Unitario]]*TablaVentas[[#This Row],[Cantidad]]</f>
        <v>580.20000000000005</v>
      </c>
      <c r="K65" s="1">
        <f>TablaVentas[[#This Row],[Total Venta]]-TablaVentas[[#This Row],[Total Costo]]</f>
        <v>368.26</v>
      </c>
    </row>
    <row r="66" spans="1:11" x14ac:dyDescent="0.25">
      <c r="A66" s="2">
        <v>44977</v>
      </c>
      <c r="B66" s="1" t="s">
        <v>8</v>
      </c>
      <c r="C66" s="1" t="s">
        <v>9</v>
      </c>
      <c r="D66" s="1" t="s">
        <v>31</v>
      </c>
      <c r="E66" s="1" t="s">
        <v>20</v>
      </c>
      <c r="F66" s="1">
        <v>7</v>
      </c>
      <c r="G66" s="1">
        <v>718.34</v>
      </c>
      <c r="H66" s="1">
        <v>444.21</v>
      </c>
      <c r="I66" s="1">
        <f>TablaVentas[[#This Row],[Precio Unitario]]*TablaVentas[[#This Row],[Cantidad]]</f>
        <v>5028.38</v>
      </c>
      <c r="J66" s="1">
        <f>TablaVentas[[#This Row],[Costo Unitario]]*TablaVentas[[#This Row],[Cantidad]]</f>
        <v>3109.47</v>
      </c>
      <c r="K66" s="1">
        <f>TablaVentas[[#This Row],[Total Venta]]-TablaVentas[[#This Row],[Total Costo]]</f>
        <v>1918.9100000000003</v>
      </c>
    </row>
    <row r="67" spans="1:11" x14ac:dyDescent="0.25">
      <c r="A67" s="2">
        <v>44977</v>
      </c>
      <c r="B67" s="1" t="s">
        <v>12</v>
      </c>
      <c r="C67" s="1" t="s">
        <v>13</v>
      </c>
      <c r="D67" s="1" t="s">
        <v>14</v>
      </c>
      <c r="E67" s="1" t="s">
        <v>20</v>
      </c>
      <c r="F67" s="1">
        <v>2</v>
      </c>
      <c r="G67" s="1">
        <v>59.93</v>
      </c>
      <c r="H67" s="1">
        <v>39.28</v>
      </c>
      <c r="I67" s="1">
        <f>TablaVentas[[#This Row],[Precio Unitario]]*TablaVentas[[#This Row],[Cantidad]]</f>
        <v>119.86</v>
      </c>
      <c r="J67" s="1">
        <f>TablaVentas[[#This Row],[Costo Unitario]]*TablaVentas[[#This Row],[Cantidad]]</f>
        <v>78.56</v>
      </c>
      <c r="K67" s="1">
        <f>TablaVentas[[#This Row],[Total Venta]]-TablaVentas[[#This Row],[Total Costo]]</f>
        <v>41.3</v>
      </c>
    </row>
    <row r="68" spans="1:11" x14ac:dyDescent="0.25">
      <c r="A68" s="2">
        <v>44977</v>
      </c>
      <c r="B68" s="1" t="s">
        <v>21</v>
      </c>
      <c r="C68" s="1" t="s">
        <v>19</v>
      </c>
      <c r="D68" s="1" t="s">
        <v>27</v>
      </c>
      <c r="E68" s="1" t="s">
        <v>22</v>
      </c>
      <c r="F68" s="1">
        <v>3</v>
      </c>
      <c r="G68" s="1">
        <v>79.47</v>
      </c>
      <c r="H68" s="1">
        <v>50.96</v>
      </c>
      <c r="I68" s="1">
        <f>TablaVentas[[#This Row],[Precio Unitario]]*TablaVentas[[#This Row],[Cantidad]]</f>
        <v>238.41</v>
      </c>
      <c r="J68" s="1">
        <f>TablaVentas[[#This Row],[Costo Unitario]]*TablaVentas[[#This Row],[Cantidad]]</f>
        <v>152.88</v>
      </c>
      <c r="K68" s="1">
        <f>TablaVentas[[#This Row],[Total Venta]]-TablaVentas[[#This Row],[Total Costo]]</f>
        <v>85.53</v>
      </c>
    </row>
    <row r="69" spans="1:11" x14ac:dyDescent="0.25">
      <c r="A69" s="2">
        <v>44977</v>
      </c>
      <c r="B69" s="1" t="s">
        <v>34</v>
      </c>
      <c r="C69" s="1" t="s">
        <v>13</v>
      </c>
      <c r="D69" s="1" t="s">
        <v>17</v>
      </c>
      <c r="E69" s="1" t="s">
        <v>22</v>
      </c>
      <c r="F69" s="1">
        <v>4</v>
      </c>
      <c r="G69" s="1">
        <v>242.83</v>
      </c>
      <c r="H69" s="1">
        <v>177.16</v>
      </c>
      <c r="I69" s="1">
        <f>TablaVentas[[#This Row],[Precio Unitario]]*TablaVentas[[#This Row],[Cantidad]]</f>
        <v>971.32</v>
      </c>
      <c r="J69" s="1">
        <f>TablaVentas[[#This Row],[Costo Unitario]]*TablaVentas[[#This Row],[Cantidad]]</f>
        <v>708.64</v>
      </c>
      <c r="K69" s="1">
        <f>TablaVentas[[#This Row],[Total Venta]]-TablaVentas[[#This Row],[Total Costo]]</f>
        <v>262.68000000000006</v>
      </c>
    </row>
    <row r="70" spans="1:11" x14ac:dyDescent="0.25">
      <c r="A70" s="2">
        <v>44977</v>
      </c>
      <c r="B70" s="1" t="s">
        <v>23</v>
      </c>
      <c r="C70" s="1" t="s">
        <v>9</v>
      </c>
      <c r="D70" s="1" t="s">
        <v>10</v>
      </c>
      <c r="E70" s="1" t="s">
        <v>11</v>
      </c>
      <c r="F70" s="1">
        <v>10</v>
      </c>
      <c r="G70" s="1">
        <v>80.040000000000006</v>
      </c>
      <c r="H70" s="1">
        <v>46.66</v>
      </c>
      <c r="I70" s="1">
        <f>TablaVentas[[#This Row],[Precio Unitario]]*TablaVentas[[#This Row],[Cantidad]]</f>
        <v>800.40000000000009</v>
      </c>
      <c r="J70" s="1">
        <f>TablaVentas[[#This Row],[Costo Unitario]]*TablaVentas[[#This Row],[Cantidad]]</f>
        <v>466.59999999999997</v>
      </c>
      <c r="K70" s="1">
        <f>TablaVentas[[#This Row],[Total Venta]]-TablaVentas[[#This Row],[Total Costo]]</f>
        <v>333.80000000000013</v>
      </c>
    </row>
    <row r="71" spans="1:11" x14ac:dyDescent="0.25">
      <c r="A71" s="2">
        <v>44978</v>
      </c>
      <c r="B71" s="1" t="s">
        <v>8</v>
      </c>
      <c r="C71" s="1" t="s">
        <v>9</v>
      </c>
      <c r="D71" s="1" t="s">
        <v>10</v>
      </c>
      <c r="E71" s="1" t="s">
        <v>28</v>
      </c>
      <c r="F71" s="1">
        <v>5</v>
      </c>
      <c r="G71" s="1">
        <v>777.32</v>
      </c>
      <c r="H71" s="1">
        <v>445.62</v>
      </c>
      <c r="I71" s="1">
        <f>TablaVentas[[#This Row],[Precio Unitario]]*TablaVentas[[#This Row],[Cantidad]]</f>
        <v>3886.6000000000004</v>
      </c>
      <c r="J71" s="1">
        <f>TablaVentas[[#This Row],[Costo Unitario]]*TablaVentas[[#This Row],[Cantidad]]</f>
        <v>2228.1</v>
      </c>
      <c r="K71" s="1">
        <f>TablaVentas[[#This Row],[Total Venta]]-TablaVentas[[#This Row],[Total Costo]]</f>
        <v>1658.5000000000005</v>
      </c>
    </row>
    <row r="72" spans="1:11" x14ac:dyDescent="0.25">
      <c r="A72" s="2">
        <v>44978</v>
      </c>
      <c r="B72" s="1" t="s">
        <v>23</v>
      </c>
      <c r="C72" s="1" t="s">
        <v>9</v>
      </c>
      <c r="D72" s="1" t="s">
        <v>33</v>
      </c>
      <c r="E72" s="1" t="s">
        <v>15</v>
      </c>
      <c r="F72" s="1">
        <v>8</v>
      </c>
      <c r="G72" s="1">
        <v>74.52</v>
      </c>
      <c r="H72" s="1">
        <v>41.67</v>
      </c>
      <c r="I72" s="1">
        <f>TablaVentas[[#This Row],[Precio Unitario]]*TablaVentas[[#This Row],[Cantidad]]</f>
        <v>596.16</v>
      </c>
      <c r="J72" s="1">
        <f>TablaVentas[[#This Row],[Costo Unitario]]*TablaVentas[[#This Row],[Cantidad]]</f>
        <v>333.36</v>
      </c>
      <c r="K72" s="1">
        <f>TablaVentas[[#This Row],[Total Venta]]-TablaVentas[[#This Row],[Total Costo]]</f>
        <v>262.79999999999995</v>
      </c>
    </row>
    <row r="73" spans="1:11" x14ac:dyDescent="0.25">
      <c r="A73" s="2">
        <v>44978</v>
      </c>
      <c r="B73" s="1" t="s">
        <v>32</v>
      </c>
      <c r="C73" s="1" t="s">
        <v>30</v>
      </c>
      <c r="D73" s="1" t="s">
        <v>31</v>
      </c>
      <c r="E73" s="1" t="s">
        <v>28</v>
      </c>
      <c r="F73" s="1">
        <v>9</v>
      </c>
      <c r="G73" s="1">
        <v>332.49</v>
      </c>
      <c r="H73" s="1">
        <v>190.21</v>
      </c>
      <c r="I73" s="1">
        <f>TablaVentas[[#This Row],[Precio Unitario]]*TablaVentas[[#This Row],[Cantidad]]</f>
        <v>2992.41</v>
      </c>
      <c r="J73" s="1">
        <f>TablaVentas[[#This Row],[Costo Unitario]]*TablaVentas[[#This Row],[Cantidad]]</f>
        <v>1711.89</v>
      </c>
      <c r="K73" s="1">
        <f>TablaVentas[[#This Row],[Total Venta]]-TablaVentas[[#This Row],[Total Costo]]</f>
        <v>1280.5199999999998</v>
      </c>
    </row>
    <row r="74" spans="1:11" x14ac:dyDescent="0.25">
      <c r="A74" s="2">
        <v>44979</v>
      </c>
      <c r="B74" s="1" t="s">
        <v>23</v>
      </c>
      <c r="C74" s="1" t="s">
        <v>9</v>
      </c>
      <c r="D74" s="1" t="s">
        <v>33</v>
      </c>
      <c r="E74" s="1" t="s">
        <v>11</v>
      </c>
      <c r="F74" s="1">
        <v>9</v>
      </c>
      <c r="G74" s="1">
        <v>63.97</v>
      </c>
      <c r="H74" s="1">
        <v>42.08</v>
      </c>
      <c r="I74" s="1">
        <f>TablaVentas[[#This Row],[Precio Unitario]]*TablaVentas[[#This Row],[Cantidad]]</f>
        <v>575.73</v>
      </c>
      <c r="J74" s="1">
        <f>TablaVentas[[#This Row],[Costo Unitario]]*TablaVentas[[#This Row],[Cantidad]]</f>
        <v>378.71999999999997</v>
      </c>
      <c r="K74" s="1">
        <f>TablaVentas[[#This Row],[Total Venta]]-TablaVentas[[#This Row],[Total Costo]]</f>
        <v>197.01000000000005</v>
      </c>
    </row>
    <row r="75" spans="1:11" x14ac:dyDescent="0.25">
      <c r="A75" s="2">
        <v>44980</v>
      </c>
      <c r="B75" s="1" t="s">
        <v>18</v>
      </c>
      <c r="C75" s="1" t="s">
        <v>19</v>
      </c>
      <c r="D75" s="1" t="s">
        <v>24</v>
      </c>
      <c r="E75" s="1" t="s">
        <v>15</v>
      </c>
      <c r="F75" s="1">
        <v>10</v>
      </c>
      <c r="G75" s="1">
        <v>1025.5</v>
      </c>
      <c r="H75" s="1">
        <v>822.44</v>
      </c>
      <c r="I75" s="1">
        <f>TablaVentas[[#This Row],[Precio Unitario]]*TablaVentas[[#This Row],[Cantidad]]</f>
        <v>10255</v>
      </c>
      <c r="J75" s="1">
        <f>TablaVentas[[#This Row],[Costo Unitario]]*TablaVentas[[#This Row],[Cantidad]]</f>
        <v>8224.4000000000015</v>
      </c>
      <c r="K75" s="1">
        <f>TablaVentas[[#This Row],[Total Venta]]-TablaVentas[[#This Row],[Total Costo]]</f>
        <v>2030.5999999999985</v>
      </c>
    </row>
    <row r="76" spans="1:11" x14ac:dyDescent="0.25">
      <c r="A76" s="2">
        <v>44980</v>
      </c>
      <c r="B76" s="1" t="s">
        <v>26</v>
      </c>
      <c r="C76" s="1" t="s">
        <v>19</v>
      </c>
      <c r="D76" s="1" t="s">
        <v>25</v>
      </c>
      <c r="E76" s="1" t="s">
        <v>11</v>
      </c>
      <c r="F76" s="1">
        <v>6</v>
      </c>
      <c r="G76" s="1">
        <v>40.92</v>
      </c>
      <c r="H76" s="1">
        <v>25.8</v>
      </c>
      <c r="I76" s="1">
        <f>TablaVentas[[#This Row],[Precio Unitario]]*TablaVentas[[#This Row],[Cantidad]]</f>
        <v>245.52</v>
      </c>
      <c r="J76" s="1">
        <f>TablaVentas[[#This Row],[Costo Unitario]]*TablaVentas[[#This Row],[Cantidad]]</f>
        <v>154.80000000000001</v>
      </c>
      <c r="K76" s="1">
        <f>TablaVentas[[#This Row],[Total Venta]]-TablaVentas[[#This Row],[Total Costo]]</f>
        <v>90.72</v>
      </c>
    </row>
    <row r="77" spans="1:11" x14ac:dyDescent="0.25">
      <c r="A77" s="2">
        <v>44982</v>
      </c>
      <c r="B77" s="1" t="s">
        <v>23</v>
      </c>
      <c r="C77" s="1" t="s">
        <v>9</v>
      </c>
      <c r="D77" s="1" t="s">
        <v>25</v>
      </c>
      <c r="E77" s="1" t="s">
        <v>22</v>
      </c>
      <c r="F77" s="1">
        <v>2</v>
      </c>
      <c r="G77" s="1">
        <v>70.45</v>
      </c>
      <c r="H77" s="1">
        <v>45.96</v>
      </c>
      <c r="I77" s="1">
        <f>TablaVentas[[#This Row],[Precio Unitario]]*TablaVentas[[#This Row],[Cantidad]]</f>
        <v>140.9</v>
      </c>
      <c r="J77" s="1">
        <f>TablaVentas[[#This Row],[Costo Unitario]]*TablaVentas[[#This Row],[Cantidad]]</f>
        <v>91.92</v>
      </c>
      <c r="K77" s="1">
        <f>TablaVentas[[#This Row],[Total Venta]]-TablaVentas[[#This Row],[Total Costo]]</f>
        <v>48.980000000000004</v>
      </c>
    </row>
    <row r="78" spans="1:11" x14ac:dyDescent="0.25">
      <c r="A78" s="2">
        <v>44982</v>
      </c>
      <c r="B78" s="1" t="s">
        <v>23</v>
      </c>
      <c r="C78" s="1" t="s">
        <v>9</v>
      </c>
      <c r="D78" s="1" t="s">
        <v>31</v>
      </c>
      <c r="E78" s="1" t="s">
        <v>22</v>
      </c>
      <c r="F78" s="1">
        <v>1</v>
      </c>
      <c r="G78" s="1">
        <v>69.010000000000005</v>
      </c>
      <c r="H78" s="1">
        <v>44.56</v>
      </c>
      <c r="I78" s="1">
        <f>TablaVentas[[#This Row],[Precio Unitario]]*TablaVentas[[#This Row],[Cantidad]]</f>
        <v>69.010000000000005</v>
      </c>
      <c r="J78" s="1">
        <f>TablaVentas[[#This Row],[Costo Unitario]]*TablaVentas[[#This Row],[Cantidad]]</f>
        <v>44.56</v>
      </c>
      <c r="K78" s="1">
        <f>TablaVentas[[#This Row],[Total Venta]]-TablaVentas[[#This Row],[Total Costo]]</f>
        <v>24.450000000000003</v>
      </c>
    </row>
    <row r="79" spans="1:11" x14ac:dyDescent="0.25">
      <c r="A79" s="2">
        <v>44982</v>
      </c>
      <c r="B79" s="1" t="s">
        <v>26</v>
      </c>
      <c r="C79" s="1" t="s">
        <v>19</v>
      </c>
      <c r="D79" s="1" t="s">
        <v>27</v>
      </c>
      <c r="E79" s="1" t="s">
        <v>11</v>
      </c>
      <c r="F79" s="1">
        <v>9</v>
      </c>
      <c r="G79" s="1">
        <v>44.53</v>
      </c>
      <c r="H79" s="1">
        <v>27.14</v>
      </c>
      <c r="I79" s="1">
        <f>TablaVentas[[#This Row],[Precio Unitario]]*TablaVentas[[#This Row],[Cantidad]]</f>
        <v>400.77</v>
      </c>
      <c r="J79" s="1">
        <f>TablaVentas[[#This Row],[Costo Unitario]]*TablaVentas[[#This Row],[Cantidad]]</f>
        <v>244.26</v>
      </c>
      <c r="K79" s="1">
        <f>TablaVentas[[#This Row],[Total Venta]]-TablaVentas[[#This Row],[Total Costo]]</f>
        <v>156.51</v>
      </c>
    </row>
    <row r="80" spans="1:11" x14ac:dyDescent="0.25">
      <c r="A80" s="2">
        <v>44984</v>
      </c>
      <c r="B80" s="1" t="s">
        <v>8</v>
      </c>
      <c r="C80" s="1" t="s">
        <v>9</v>
      </c>
      <c r="D80" s="1" t="s">
        <v>24</v>
      </c>
      <c r="E80" s="1" t="s">
        <v>11</v>
      </c>
      <c r="F80" s="1">
        <v>4</v>
      </c>
      <c r="G80" s="1">
        <v>754.67</v>
      </c>
      <c r="H80" s="1">
        <v>458.13</v>
      </c>
      <c r="I80" s="1">
        <f>TablaVentas[[#This Row],[Precio Unitario]]*TablaVentas[[#This Row],[Cantidad]]</f>
        <v>3018.68</v>
      </c>
      <c r="J80" s="1">
        <f>TablaVentas[[#This Row],[Costo Unitario]]*TablaVentas[[#This Row],[Cantidad]]</f>
        <v>1832.52</v>
      </c>
      <c r="K80" s="1">
        <f>TablaVentas[[#This Row],[Total Venta]]-TablaVentas[[#This Row],[Total Costo]]</f>
        <v>1186.1599999999999</v>
      </c>
    </row>
    <row r="81" spans="1:11" x14ac:dyDescent="0.25">
      <c r="A81" s="2">
        <v>44985</v>
      </c>
      <c r="B81" s="1" t="s">
        <v>23</v>
      </c>
      <c r="C81" s="1" t="s">
        <v>9</v>
      </c>
      <c r="D81" s="1" t="s">
        <v>25</v>
      </c>
      <c r="E81" s="1" t="s">
        <v>22</v>
      </c>
      <c r="F81" s="1">
        <v>2</v>
      </c>
      <c r="G81" s="1">
        <v>84.53</v>
      </c>
      <c r="H81" s="1">
        <v>46.08</v>
      </c>
      <c r="I81" s="1">
        <f>TablaVentas[[#This Row],[Precio Unitario]]*TablaVentas[[#This Row],[Cantidad]]</f>
        <v>169.06</v>
      </c>
      <c r="J81" s="1">
        <f>TablaVentas[[#This Row],[Costo Unitario]]*TablaVentas[[#This Row],[Cantidad]]</f>
        <v>92.16</v>
      </c>
      <c r="K81" s="1">
        <f>TablaVentas[[#This Row],[Total Venta]]-TablaVentas[[#This Row],[Total Costo]]</f>
        <v>76.900000000000006</v>
      </c>
    </row>
    <row r="82" spans="1:11" x14ac:dyDescent="0.25">
      <c r="A82" s="2">
        <v>44985</v>
      </c>
      <c r="B82" s="1" t="s">
        <v>32</v>
      </c>
      <c r="C82" s="1" t="s">
        <v>30</v>
      </c>
      <c r="D82" s="1" t="s">
        <v>27</v>
      </c>
      <c r="E82" s="1" t="s">
        <v>20</v>
      </c>
      <c r="F82" s="1">
        <v>4</v>
      </c>
      <c r="G82" s="1">
        <v>333.59</v>
      </c>
      <c r="H82" s="1">
        <v>207.03</v>
      </c>
      <c r="I82" s="1">
        <f>TablaVentas[[#This Row],[Precio Unitario]]*TablaVentas[[#This Row],[Cantidad]]</f>
        <v>1334.36</v>
      </c>
      <c r="J82" s="1">
        <f>TablaVentas[[#This Row],[Costo Unitario]]*TablaVentas[[#This Row],[Cantidad]]</f>
        <v>828.12</v>
      </c>
      <c r="K82" s="1">
        <f>TablaVentas[[#This Row],[Total Venta]]-TablaVentas[[#This Row],[Total Costo]]</f>
        <v>506.2399999999999</v>
      </c>
    </row>
    <row r="83" spans="1:11" x14ac:dyDescent="0.25">
      <c r="A83" s="2">
        <v>44985</v>
      </c>
      <c r="B83" s="1" t="s">
        <v>32</v>
      </c>
      <c r="C83" s="1" t="s">
        <v>30</v>
      </c>
      <c r="D83" s="1" t="s">
        <v>33</v>
      </c>
      <c r="E83" s="1" t="s">
        <v>15</v>
      </c>
      <c r="F83" s="1">
        <v>10</v>
      </c>
      <c r="G83" s="1">
        <v>335.14</v>
      </c>
      <c r="H83" s="1">
        <v>228.97</v>
      </c>
      <c r="I83" s="1">
        <f>TablaVentas[[#This Row],[Precio Unitario]]*TablaVentas[[#This Row],[Cantidad]]</f>
        <v>3351.3999999999996</v>
      </c>
      <c r="J83" s="1">
        <f>TablaVentas[[#This Row],[Costo Unitario]]*TablaVentas[[#This Row],[Cantidad]]</f>
        <v>2289.6999999999998</v>
      </c>
      <c r="K83" s="1">
        <f>TablaVentas[[#This Row],[Total Venta]]-TablaVentas[[#This Row],[Total Costo]]</f>
        <v>1061.6999999999998</v>
      </c>
    </row>
    <row r="84" spans="1:11" x14ac:dyDescent="0.25">
      <c r="A84" s="2">
        <v>44986</v>
      </c>
      <c r="B84" s="1" t="s">
        <v>12</v>
      </c>
      <c r="C84" s="1" t="s">
        <v>13</v>
      </c>
      <c r="D84" s="1" t="s">
        <v>31</v>
      </c>
      <c r="E84" s="1" t="s">
        <v>11</v>
      </c>
      <c r="F84" s="1">
        <v>3</v>
      </c>
      <c r="G84" s="1">
        <v>57.48</v>
      </c>
      <c r="H84" s="1">
        <v>42.79</v>
      </c>
      <c r="I84" s="1">
        <f>TablaVentas[[#This Row],[Precio Unitario]]*TablaVentas[[#This Row],[Cantidad]]</f>
        <v>172.44</v>
      </c>
      <c r="J84" s="1">
        <f>TablaVentas[[#This Row],[Costo Unitario]]*TablaVentas[[#This Row],[Cantidad]]</f>
        <v>128.37</v>
      </c>
      <c r="K84" s="1">
        <f>TablaVentas[[#This Row],[Total Venta]]-TablaVentas[[#This Row],[Total Costo]]</f>
        <v>44.069999999999993</v>
      </c>
    </row>
    <row r="85" spans="1:11" x14ac:dyDescent="0.25">
      <c r="A85" s="2">
        <v>44987</v>
      </c>
      <c r="B85" s="1" t="s">
        <v>12</v>
      </c>
      <c r="C85" s="1" t="s">
        <v>13</v>
      </c>
      <c r="D85" s="1" t="s">
        <v>27</v>
      </c>
      <c r="E85" s="1" t="s">
        <v>20</v>
      </c>
      <c r="F85" s="1">
        <v>6</v>
      </c>
      <c r="G85" s="1">
        <v>58.47</v>
      </c>
      <c r="H85" s="1">
        <v>44.48</v>
      </c>
      <c r="I85" s="1">
        <f>TablaVentas[[#This Row],[Precio Unitario]]*TablaVentas[[#This Row],[Cantidad]]</f>
        <v>350.82</v>
      </c>
      <c r="J85" s="1">
        <f>TablaVentas[[#This Row],[Costo Unitario]]*TablaVentas[[#This Row],[Cantidad]]</f>
        <v>266.88</v>
      </c>
      <c r="K85" s="1">
        <f>TablaVentas[[#This Row],[Total Venta]]-TablaVentas[[#This Row],[Total Costo]]</f>
        <v>83.94</v>
      </c>
    </row>
    <row r="86" spans="1:11" x14ac:dyDescent="0.25">
      <c r="A86" s="2">
        <v>44988</v>
      </c>
      <c r="B86" s="1" t="s">
        <v>12</v>
      </c>
      <c r="C86" s="1" t="s">
        <v>13</v>
      </c>
      <c r="D86" s="1" t="s">
        <v>24</v>
      </c>
      <c r="E86" s="1" t="s">
        <v>22</v>
      </c>
      <c r="F86" s="1">
        <v>9</v>
      </c>
      <c r="G86" s="1">
        <v>57.13</v>
      </c>
      <c r="H86" s="1">
        <v>45.79</v>
      </c>
      <c r="I86" s="1">
        <f>TablaVentas[[#This Row],[Precio Unitario]]*TablaVentas[[#This Row],[Cantidad]]</f>
        <v>514.17000000000007</v>
      </c>
      <c r="J86" s="1">
        <f>TablaVentas[[#This Row],[Costo Unitario]]*TablaVentas[[#This Row],[Cantidad]]</f>
        <v>412.11</v>
      </c>
      <c r="K86" s="1">
        <f>TablaVentas[[#This Row],[Total Venta]]-TablaVentas[[#This Row],[Total Costo]]</f>
        <v>102.06000000000006</v>
      </c>
    </row>
    <row r="87" spans="1:11" x14ac:dyDescent="0.25">
      <c r="A87" s="2">
        <v>44988</v>
      </c>
      <c r="B87" s="1" t="s">
        <v>12</v>
      </c>
      <c r="C87" s="1" t="s">
        <v>13</v>
      </c>
      <c r="D87" s="1" t="s">
        <v>25</v>
      </c>
      <c r="E87" s="1" t="s">
        <v>15</v>
      </c>
      <c r="F87" s="1">
        <v>8</v>
      </c>
      <c r="G87" s="1">
        <v>67.59</v>
      </c>
      <c r="H87" s="1">
        <v>45.58</v>
      </c>
      <c r="I87" s="1">
        <f>TablaVentas[[#This Row],[Precio Unitario]]*TablaVentas[[#This Row],[Cantidad]]</f>
        <v>540.72</v>
      </c>
      <c r="J87" s="1">
        <f>TablaVentas[[#This Row],[Costo Unitario]]*TablaVentas[[#This Row],[Cantidad]]</f>
        <v>364.64</v>
      </c>
      <c r="K87" s="1">
        <f>TablaVentas[[#This Row],[Total Venta]]-TablaVentas[[#This Row],[Total Costo]]</f>
        <v>176.08000000000004</v>
      </c>
    </row>
    <row r="88" spans="1:11" x14ac:dyDescent="0.25">
      <c r="A88" s="2">
        <v>44989</v>
      </c>
      <c r="B88" s="1" t="s">
        <v>32</v>
      </c>
      <c r="C88" s="1" t="s">
        <v>30</v>
      </c>
      <c r="D88" s="1" t="s">
        <v>14</v>
      </c>
      <c r="E88" s="1" t="s">
        <v>15</v>
      </c>
      <c r="F88" s="1">
        <v>4</v>
      </c>
      <c r="G88" s="1">
        <v>332.13</v>
      </c>
      <c r="H88" s="1">
        <v>221.41</v>
      </c>
      <c r="I88" s="1">
        <f>TablaVentas[[#This Row],[Precio Unitario]]*TablaVentas[[#This Row],[Cantidad]]</f>
        <v>1328.52</v>
      </c>
      <c r="J88" s="1">
        <f>TablaVentas[[#This Row],[Costo Unitario]]*TablaVentas[[#This Row],[Cantidad]]</f>
        <v>885.64</v>
      </c>
      <c r="K88" s="1">
        <f>TablaVentas[[#This Row],[Total Venta]]-TablaVentas[[#This Row],[Total Costo]]</f>
        <v>442.88</v>
      </c>
    </row>
    <row r="89" spans="1:11" x14ac:dyDescent="0.25">
      <c r="A89" s="2">
        <v>44989</v>
      </c>
      <c r="B89" s="1" t="s">
        <v>32</v>
      </c>
      <c r="C89" s="1" t="s">
        <v>30</v>
      </c>
      <c r="D89" s="1" t="s">
        <v>17</v>
      </c>
      <c r="E89" s="1" t="s">
        <v>22</v>
      </c>
      <c r="F89" s="1">
        <v>2</v>
      </c>
      <c r="G89" s="1">
        <v>360.27</v>
      </c>
      <c r="H89" s="1">
        <v>228.84</v>
      </c>
      <c r="I89" s="1">
        <f>TablaVentas[[#This Row],[Precio Unitario]]*TablaVentas[[#This Row],[Cantidad]]</f>
        <v>720.54</v>
      </c>
      <c r="J89" s="1">
        <f>TablaVentas[[#This Row],[Costo Unitario]]*TablaVentas[[#This Row],[Cantidad]]</f>
        <v>457.68</v>
      </c>
      <c r="K89" s="1">
        <f>TablaVentas[[#This Row],[Total Venta]]-TablaVentas[[#This Row],[Total Costo]]</f>
        <v>262.85999999999996</v>
      </c>
    </row>
    <row r="90" spans="1:11" x14ac:dyDescent="0.25">
      <c r="A90" s="2">
        <v>44989</v>
      </c>
      <c r="B90" s="1" t="s">
        <v>8</v>
      </c>
      <c r="C90" s="1" t="s">
        <v>9</v>
      </c>
      <c r="D90" s="1" t="s">
        <v>31</v>
      </c>
      <c r="E90" s="1" t="s">
        <v>11</v>
      </c>
      <c r="F90" s="1">
        <v>7</v>
      </c>
      <c r="G90" s="1">
        <v>743.24</v>
      </c>
      <c r="H90" s="1">
        <v>495.82</v>
      </c>
      <c r="I90" s="1">
        <f>TablaVentas[[#This Row],[Precio Unitario]]*TablaVentas[[#This Row],[Cantidad]]</f>
        <v>5202.68</v>
      </c>
      <c r="J90" s="1">
        <f>TablaVentas[[#This Row],[Costo Unitario]]*TablaVentas[[#This Row],[Cantidad]]</f>
        <v>3470.74</v>
      </c>
      <c r="K90" s="1">
        <f>TablaVentas[[#This Row],[Total Venta]]-TablaVentas[[#This Row],[Total Costo]]</f>
        <v>1731.9400000000005</v>
      </c>
    </row>
    <row r="91" spans="1:11" x14ac:dyDescent="0.25">
      <c r="A91" s="2">
        <v>44989</v>
      </c>
      <c r="B91" s="1" t="s">
        <v>21</v>
      </c>
      <c r="C91" s="1" t="s">
        <v>19</v>
      </c>
      <c r="D91" s="1" t="s">
        <v>17</v>
      </c>
      <c r="E91" s="1" t="s">
        <v>22</v>
      </c>
      <c r="F91" s="1">
        <v>6</v>
      </c>
      <c r="G91" s="1">
        <v>92.14</v>
      </c>
      <c r="H91" s="1">
        <v>52.86</v>
      </c>
      <c r="I91" s="1">
        <f>TablaVentas[[#This Row],[Precio Unitario]]*TablaVentas[[#This Row],[Cantidad]]</f>
        <v>552.84</v>
      </c>
      <c r="J91" s="1">
        <f>TablaVentas[[#This Row],[Costo Unitario]]*TablaVentas[[#This Row],[Cantidad]]</f>
        <v>317.15999999999997</v>
      </c>
      <c r="K91" s="1">
        <f>TablaVentas[[#This Row],[Total Venta]]-TablaVentas[[#This Row],[Total Costo]]</f>
        <v>235.68000000000006</v>
      </c>
    </row>
    <row r="92" spans="1:11" x14ac:dyDescent="0.25">
      <c r="A92" s="2">
        <v>44990</v>
      </c>
      <c r="B92" s="1" t="s">
        <v>29</v>
      </c>
      <c r="C92" s="1" t="s">
        <v>30</v>
      </c>
      <c r="D92" s="1" t="s">
        <v>10</v>
      </c>
      <c r="E92" s="1" t="s">
        <v>11</v>
      </c>
      <c r="F92" s="1">
        <v>7</v>
      </c>
      <c r="G92" s="1">
        <v>496.13</v>
      </c>
      <c r="H92" s="1">
        <v>301.79000000000002</v>
      </c>
      <c r="I92" s="1">
        <f>TablaVentas[[#This Row],[Precio Unitario]]*TablaVentas[[#This Row],[Cantidad]]</f>
        <v>3472.91</v>
      </c>
      <c r="J92" s="1">
        <f>TablaVentas[[#This Row],[Costo Unitario]]*TablaVentas[[#This Row],[Cantidad]]</f>
        <v>2112.5300000000002</v>
      </c>
      <c r="K92" s="1">
        <f>TablaVentas[[#This Row],[Total Venta]]-TablaVentas[[#This Row],[Total Costo]]</f>
        <v>1360.3799999999997</v>
      </c>
    </row>
    <row r="93" spans="1:11" x14ac:dyDescent="0.25">
      <c r="A93" s="2">
        <v>44993</v>
      </c>
      <c r="B93" s="1" t="s">
        <v>8</v>
      </c>
      <c r="C93" s="1" t="s">
        <v>9</v>
      </c>
      <c r="D93" s="1" t="s">
        <v>24</v>
      </c>
      <c r="E93" s="1" t="s">
        <v>11</v>
      </c>
      <c r="F93" s="1">
        <v>6</v>
      </c>
      <c r="G93" s="1">
        <v>670.69</v>
      </c>
      <c r="H93" s="1">
        <v>483.72</v>
      </c>
      <c r="I93" s="1">
        <f>TablaVentas[[#This Row],[Precio Unitario]]*TablaVentas[[#This Row],[Cantidad]]</f>
        <v>4024.1400000000003</v>
      </c>
      <c r="J93" s="1">
        <f>TablaVentas[[#This Row],[Costo Unitario]]*TablaVentas[[#This Row],[Cantidad]]</f>
        <v>2902.32</v>
      </c>
      <c r="K93" s="1">
        <f>TablaVentas[[#This Row],[Total Venta]]-TablaVentas[[#This Row],[Total Costo]]</f>
        <v>1121.8200000000002</v>
      </c>
    </row>
    <row r="94" spans="1:11" x14ac:dyDescent="0.25">
      <c r="A94" s="2">
        <v>44993</v>
      </c>
      <c r="B94" s="1" t="s">
        <v>21</v>
      </c>
      <c r="C94" s="1" t="s">
        <v>19</v>
      </c>
      <c r="D94" s="1" t="s">
        <v>25</v>
      </c>
      <c r="E94" s="1" t="s">
        <v>20</v>
      </c>
      <c r="F94" s="1">
        <v>7</v>
      </c>
      <c r="G94" s="1">
        <v>94.52</v>
      </c>
      <c r="H94" s="1">
        <v>56.34</v>
      </c>
      <c r="I94" s="1">
        <f>TablaVentas[[#This Row],[Precio Unitario]]*TablaVentas[[#This Row],[Cantidad]]</f>
        <v>661.64</v>
      </c>
      <c r="J94" s="1">
        <f>TablaVentas[[#This Row],[Costo Unitario]]*TablaVentas[[#This Row],[Cantidad]]</f>
        <v>394.38</v>
      </c>
      <c r="K94" s="1">
        <f>TablaVentas[[#This Row],[Total Venta]]-TablaVentas[[#This Row],[Total Costo]]</f>
        <v>267.26</v>
      </c>
    </row>
    <row r="95" spans="1:11" x14ac:dyDescent="0.25">
      <c r="A95" s="2">
        <v>44995</v>
      </c>
      <c r="B95" s="1" t="s">
        <v>16</v>
      </c>
      <c r="C95" s="1" t="s">
        <v>13</v>
      </c>
      <c r="D95" s="1" t="s">
        <v>27</v>
      </c>
      <c r="E95" s="1" t="s">
        <v>15</v>
      </c>
      <c r="F95" s="1">
        <v>7</v>
      </c>
      <c r="G95" s="1">
        <v>48.51</v>
      </c>
      <c r="H95" s="1">
        <v>35.6</v>
      </c>
      <c r="I95" s="1">
        <f>TablaVentas[[#This Row],[Precio Unitario]]*TablaVentas[[#This Row],[Cantidad]]</f>
        <v>339.57</v>
      </c>
      <c r="J95" s="1">
        <f>TablaVentas[[#This Row],[Costo Unitario]]*TablaVentas[[#This Row],[Cantidad]]</f>
        <v>249.20000000000002</v>
      </c>
      <c r="K95" s="1">
        <f>TablaVentas[[#This Row],[Total Venta]]-TablaVentas[[#This Row],[Total Costo]]</f>
        <v>90.369999999999976</v>
      </c>
    </row>
    <row r="96" spans="1:11" x14ac:dyDescent="0.25">
      <c r="A96" s="2">
        <v>44995</v>
      </c>
      <c r="B96" s="1" t="s">
        <v>12</v>
      </c>
      <c r="C96" s="1" t="s">
        <v>13</v>
      </c>
      <c r="D96" s="1" t="s">
        <v>10</v>
      </c>
      <c r="E96" s="1" t="s">
        <v>22</v>
      </c>
      <c r="F96" s="1">
        <v>10</v>
      </c>
      <c r="G96" s="1">
        <v>71.78</v>
      </c>
      <c r="H96" s="1">
        <v>39.19</v>
      </c>
      <c r="I96" s="1">
        <f>TablaVentas[[#This Row],[Precio Unitario]]*TablaVentas[[#This Row],[Cantidad]]</f>
        <v>717.8</v>
      </c>
      <c r="J96" s="1">
        <f>TablaVentas[[#This Row],[Costo Unitario]]*TablaVentas[[#This Row],[Cantidad]]</f>
        <v>391.9</v>
      </c>
      <c r="K96" s="1">
        <f>TablaVentas[[#This Row],[Total Venta]]-TablaVentas[[#This Row],[Total Costo]]</f>
        <v>325.89999999999998</v>
      </c>
    </row>
    <row r="97" spans="1:11" x14ac:dyDescent="0.25">
      <c r="A97" s="2">
        <v>44996</v>
      </c>
      <c r="B97" s="1" t="s">
        <v>23</v>
      </c>
      <c r="C97" s="1" t="s">
        <v>9</v>
      </c>
      <c r="D97" s="1" t="s">
        <v>14</v>
      </c>
      <c r="E97" s="1" t="s">
        <v>28</v>
      </c>
      <c r="F97" s="1">
        <v>5</v>
      </c>
      <c r="G97" s="1">
        <v>64.790000000000006</v>
      </c>
      <c r="H97" s="1">
        <v>44.51</v>
      </c>
      <c r="I97" s="1">
        <f>TablaVentas[[#This Row],[Precio Unitario]]*TablaVentas[[#This Row],[Cantidad]]</f>
        <v>323.95000000000005</v>
      </c>
      <c r="J97" s="1">
        <f>TablaVentas[[#This Row],[Costo Unitario]]*TablaVentas[[#This Row],[Cantidad]]</f>
        <v>222.54999999999998</v>
      </c>
      <c r="K97" s="1">
        <f>TablaVentas[[#This Row],[Total Venta]]-TablaVentas[[#This Row],[Total Costo]]</f>
        <v>101.40000000000006</v>
      </c>
    </row>
    <row r="98" spans="1:11" x14ac:dyDescent="0.25">
      <c r="A98" s="2">
        <v>44996</v>
      </c>
      <c r="B98" s="1" t="s">
        <v>32</v>
      </c>
      <c r="C98" s="1" t="s">
        <v>30</v>
      </c>
      <c r="D98" s="1" t="s">
        <v>14</v>
      </c>
      <c r="E98" s="1" t="s">
        <v>28</v>
      </c>
      <c r="F98" s="1">
        <v>5</v>
      </c>
      <c r="G98" s="1">
        <v>295.83999999999997</v>
      </c>
      <c r="H98" s="1">
        <v>227.1</v>
      </c>
      <c r="I98" s="1">
        <f>TablaVentas[[#This Row],[Precio Unitario]]*TablaVentas[[#This Row],[Cantidad]]</f>
        <v>1479.1999999999998</v>
      </c>
      <c r="J98" s="1">
        <f>TablaVentas[[#This Row],[Costo Unitario]]*TablaVentas[[#This Row],[Cantidad]]</f>
        <v>1135.5</v>
      </c>
      <c r="K98" s="1">
        <f>TablaVentas[[#This Row],[Total Venta]]-TablaVentas[[#This Row],[Total Costo]]</f>
        <v>343.69999999999982</v>
      </c>
    </row>
    <row r="99" spans="1:11" x14ac:dyDescent="0.25">
      <c r="A99" s="2">
        <v>44996</v>
      </c>
      <c r="B99" s="1" t="s">
        <v>23</v>
      </c>
      <c r="C99" s="1" t="s">
        <v>9</v>
      </c>
      <c r="D99" s="1" t="s">
        <v>33</v>
      </c>
      <c r="E99" s="1" t="s">
        <v>15</v>
      </c>
      <c r="F99" s="1">
        <v>2</v>
      </c>
      <c r="G99" s="1">
        <v>72.69</v>
      </c>
      <c r="H99" s="1">
        <v>45.17</v>
      </c>
      <c r="I99" s="1">
        <f>TablaVentas[[#This Row],[Precio Unitario]]*TablaVentas[[#This Row],[Cantidad]]</f>
        <v>145.38</v>
      </c>
      <c r="J99" s="1">
        <f>TablaVentas[[#This Row],[Costo Unitario]]*TablaVentas[[#This Row],[Cantidad]]</f>
        <v>90.34</v>
      </c>
      <c r="K99" s="1">
        <f>TablaVentas[[#This Row],[Total Venta]]-TablaVentas[[#This Row],[Total Costo]]</f>
        <v>55.039999999999992</v>
      </c>
    </row>
    <row r="100" spans="1:11" x14ac:dyDescent="0.25">
      <c r="A100" s="2">
        <v>45000</v>
      </c>
      <c r="B100" s="1" t="s">
        <v>16</v>
      </c>
      <c r="C100" s="1" t="s">
        <v>13</v>
      </c>
      <c r="D100" s="1" t="s">
        <v>25</v>
      </c>
      <c r="E100" s="1" t="s">
        <v>11</v>
      </c>
      <c r="F100" s="1">
        <v>1</v>
      </c>
      <c r="G100" s="1">
        <v>61.44</v>
      </c>
      <c r="H100" s="1">
        <v>34.950000000000003</v>
      </c>
      <c r="I100" s="1">
        <f>TablaVentas[[#This Row],[Precio Unitario]]*TablaVentas[[#This Row],[Cantidad]]</f>
        <v>61.44</v>
      </c>
      <c r="J100" s="1">
        <f>TablaVentas[[#This Row],[Costo Unitario]]*TablaVentas[[#This Row],[Cantidad]]</f>
        <v>34.950000000000003</v>
      </c>
      <c r="K100" s="1">
        <f>TablaVentas[[#This Row],[Total Venta]]-TablaVentas[[#This Row],[Total Costo]]</f>
        <v>26.489999999999995</v>
      </c>
    </row>
    <row r="101" spans="1:11" x14ac:dyDescent="0.25">
      <c r="A101" s="2">
        <v>45001</v>
      </c>
      <c r="B101" s="1" t="s">
        <v>16</v>
      </c>
      <c r="C101" s="1" t="s">
        <v>13</v>
      </c>
      <c r="D101" s="1" t="s">
        <v>17</v>
      </c>
      <c r="E101" s="1" t="s">
        <v>20</v>
      </c>
      <c r="F101" s="1">
        <v>9</v>
      </c>
      <c r="G101" s="1">
        <v>59.52</v>
      </c>
      <c r="H101" s="1">
        <v>31.62</v>
      </c>
      <c r="I101" s="1">
        <f>TablaVentas[[#This Row],[Precio Unitario]]*TablaVentas[[#This Row],[Cantidad]]</f>
        <v>535.68000000000006</v>
      </c>
      <c r="J101" s="1">
        <f>TablaVentas[[#This Row],[Costo Unitario]]*TablaVentas[[#This Row],[Cantidad]]</f>
        <v>284.58</v>
      </c>
      <c r="K101" s="1">
        <f>TablaVentas[[#This Row],[Total Venta]]-TablaVentas[[#This Row],[Total Costo]]</f>
        <v>251.10000000000008</v>
      </c>
    </row>
    <row r="102" spans="1:11" x14ac:dyDescent="0.25">
      <c r="A102" s="2">
        <v>45002</v>
      </c>
      <c r="B102" s="1" t="s">
        <v>16</v>
      </c>
      <c r="C102" s="1" t="s">
        <v>13</v>
      </c>
      <c r="D102" s="1" t="s">
        <v>10</v>
      </c>
      <c r="E102" s="1" t="s">
        <v>20</v>
      </c>
      <c r="F102" s="1">
        <v>9</v>
      </c>
      <c r="G102" s="1">
        <v>62.97</v>
      </c>
      <c r="H102" s="1">
        <v>31.9</v>
      </c>
      <c r="I102" s="1">
        <f>TablaVentas[[#This Row],[Precio Unitario]]*TablaVentas[[#This Row],[Cantidad]]</f>
        <v>566.73</v>
      </c>
      <c r="J102" s="1">
        <f>TablaVentas[[#This Row],[Costo Unitario]]*TablaVentas[[#This Row],[Cantidad]]</f>
        <v>287.09999999999997</v>
      </c>
      <c r="K102" s="1">
        <f>TablaVentas[[#This Row],[Total Venta]]-TablaVentas[[#This Row],[Total Costo]]</f>
        <v>279.63000000000005</v>
      </c>
    </row>
    <row r="103" spans="1:11" x14ac:dyDescent="0.25">
      <c r="A103" s="2">
        <v>45003</v>
      </c>
      <c r="B103" s="1" t="s">
        <v>29</v>
      </c>
      <c r="C103" s="1" t="s">
        <v>30</v>
      </c>
      <c r="D103" s="1" t="s">
        <v>17</v>
      </c>
      <c r="E103" s="1" t="s">
        <v>15</v>
      </c>
      <c r="F103" s="1">
        <v>9</v>
      </c>
      <c r="G103" s="1">
        <v>451.86</v>
      </c>
      <c r="H103" s="1">
        <v>325.89</v>
      </c>
      <c r="I103" s="1">
        <f>TablaVentas[[#This Row],[Precio Unitario]]*TablaVentas[[#This Row],[Cantidad]]</f>
        <v>4066.7400000000002</v>
      </c>
      <c r="J103" s="1">
        <f>TablaVentas[[#This Row],[Costo Unitario]]*TablaVentas[[#This Row],[Cantidad]]</f>
        <v>2933.0099999999998</v>
      </c>
      <c r="K103" s="1">
        <f>TablaVentas[[#This Row],[Total Venta]]-TablaVentas[[#This Row],[Total Costo]]</f>
        <v>1133.7300000000005</v>
      </c>
    </row>
    <row r="104" spans="1:11" x14ac:dyDescent="0.25">
      <c r="A104" s="2">
        <v>45004</v>
      </c>
      <c r="B104" s="1" t="s">
        <v>21</v>
      </c>
      <c r="C104" s="1" t="s">
        <v>19</v>
      </c>
      <c r="D104" s="1" t="s">
        <v>14</v>
      </c>
      <c r="E104" s="1" t="s">
        <v>22</v>
      </c>
      <c r="F104" s="1">
        <v>5</v>
      </c>
      <c r="G104" s="1">
        <v>80.66</v>
      </c>
      <c r="H104" s="1">
        <v>56.12</v>
      </c>
      <c r="I104" s="1">
        <f>TablaVentas[[#This Row],[Precio Unitario]]*TablaVentas[[#This Row],[Cantidad]]</f>
        <v>403.29999999999995</v>
      </c>
      <c r="J104" s="1">
        <f>TablaVentas[[#This Row],[Costo Unitario]]*TablaVentas[[#This Row],[Cantidad]]</f>
        <v>280.59999999999997</v>
      </c>
      <c r="K104" s="1">
        <f>TablaVentas[[#This Row],[Total Venta]]-TablaVentas[[#This Row],[Total Costo]]</f>
        <v>122.69999999999999</v>
      </c>
    </row>
    <row r="105" spans="1:11" x14ac:dyDescent="0.25">
      <c r="A105" s="2">
        <v>45004</v>
      </c>
      <c r="B105" s="1" t="s">
        <v>12</v>
      </c>
      <c r="C105" s="1" t="s">
        <v>13</v>
      </c>
      <c r="D105" s="1" t="s">
        <v>25</v>
      </c>
      <c r="E105" s="1" t="s">
        <v>15</v>
      </c>
      <c r="F105" s="1">
        <v>1</v>
      </c>
      <c r="G105" s="1">
        <v>58.27</v>
      </c>
      <c r="H105" s="1">
        <v>43.35</v>
      </c>
      <c r="I105" s="1">
        <f>TablaVentas[[#This Row],[Precio Unitario]]*TablaVentas[[#This Row],[Cantidad]]</f>
        <v>58.27</v>
      </c>
      <c r="J105" s="1">
        <f>TablaVentas[[#This Row],[Costo Unitario]]*TablaVentas[[#This Row],[Cantidad]]</f>
        <v>43.35</v>
      </c>
      <c r="K105" s="1">
        <f>TablaVentas[[#This Row],[Total Venta]]-TablaVentas[[#This Row],[Total Costo]]</f>
        <v>14.920000000000002</v>
      </c>
    </row>
    <row r="106" spans="1:11" x14ac:dyDescent="0.25">
      <c r="A106" s="2">
        <v>45005</v>
      </c>
      <c r="B106" s="1" t="s">
        <v>34</v>
      </c>
      <c r="C106" s="1" t="s">
        <v>13</v>
      </c>
      <c r="D106" s="1" t="s">
        <v>25</v>
      </c>
      <c r="E106" s="1" t="s">
        <v>28</v>
      </c>
      <c r="F106" s="1">
        <v>6</v>
      </c>
      <c r="G106" s="1">
        <v>307.95</v>
      </c>
      <c r="H106" s="1">
        <v>171.71</v>
      </c>
      <c r="I106" s="1">
        <f>TablaVentas[[#This Row],[Precio Unitario]]*TablaVentas[[#This Row],[Cantidad]]</f>
        <v>1847.6999999999998</v>
      </c>
      <c r="J106" s="1">
        <f>TablaVentas[[#This Row],[Costo Unitario]]*TablaVentas[[#This Row],[Cantidad]]</f>
        <v>1030.26</v>
      </c>
      <c r="K106" s="1">
        <f>TablaVentas[[#This Row],[Total Venta]]-TablaVentas[[#This Row],[Total Costo]]</f>
        <v>817.43999999999983</v>
      </c>
    </row>
    <row r="107" spans="1:11" x14ac:dyDescent="0.25">
      <c r="A107" s="2">
        <v>45005</v>
      </c>
      <c r="B107" s="1" t="s">
        <v>23</v>
      </c>
      <c r="C107" s="1" t="s">
        <v>9</v>
      </c>
      <c r="D107" s="1" t="s">
        <v>33</v>
      </c>
      <c r="E107" s="1" t="s">
        <v>15</v>
      </c>
      <c r="F107" s="1">
        <v>7</v>
      </c>
      <c r="G107" s="1">
        <v>76.099999999999994</v>
      </c>
      <c r="H107" s="1">
        <v>45.71</v>
      </c>
      <c r="I107" s="1">
        <f>TablaVentas[[#This Row],[Precio Unitario]]*TablaVentas[[#This Row],[Cantidad]]</f>
        <v>532.69999999999993</v>
      </c>
      <c r="J107" s="1">
        <f>TablaVentas[[#This Row],[Costo Unitario]]*TablaVentas[[#This Row],[Cantidad]]</f>
        <v>319.97000000000003</v>
      </c>
      <c r="K107" s="1">
        <f>TablaVentas[[#This Row],[Total Venta]]-TablaVentas[[#This Row],[Total Costo]]</f>
        <v>212.7299999999999</v>
      </c>
    </row>
    <row r="108" spans="1:11" x14ac:dyDescent="0.25">
      <c r="A108" s="2">
        <v>45005</v>
      </c>
      <c r="B108" s="1" t="s">
        <v>29</v>
      </c>
      <c r="C108" s="1" t="s">
        <v>30</v>
      </c>
      <c r="D108" s="1" t="s">
        <v>25</v>
      </c>
      <c r="E108" s="1" t="s">
        <v>20</v>
      </c>
      <c r="F108" s="1">
        <v>10</v>
      </c>
      <c r="G108" s="1">
        <v>415.53</v>
      </c>
      <c r="H108" s="1">
        <v>322.88</v>
      </c>
      <c r="I108" s="1">
        <f>TablaVentas[[#This Row],[Precio Unitario]]*TablaVentas[[#This Row],[Cantidad]]</f>
        <v>4155.2999999999993</v>
      </c>
      <c r="J108" s="1">
        <f>TablaVentas[[#This Row],[Costo Unitario]]*TablaVentas[[#This Row],[Cantidad]]</f>
        <v>3228.8</v>
      </c>
      <c r="K108" s="1">
        <f>TablaVentas[[#This Row],[Total Venta]]-TablaVentas[[#This Row],[Total Costo]]</f>
        <v>926.49999999999909</v>
      </c>
    </row>
    <row r="109" spans="1:11" x14ac:dyDescent="0.25">
      <c r="A109" s="2">
        <v>45006</v>
      </c>
      <c r="B109" s="1" t="s">
        <v>18</v>
      </c>
      <c r="C109" s="1" t="s">
        <v>19</v>
      </c>
      <c r="D109" s="1" t="s">
        <v>33</v>
      </c>
      <c r="E109" s="1" t="s">
        <v>15</v>
      </c>
      <c r="F109" s="1">
        <v>10</v>
      </c>
      <c r="G109" s="1">
        <v>1377.17</v>
      </c>
      <c r="H109" s="1">
        <v>862.63</v>
      </c>
      <c r="I109" s="1">
        <f>TablaVentas[[#This Row],[Precio Unitario]]*TablaVentas[[#This Row],[Cantidad]]</f>
        <v>13771.7</v>
      </c>
      <c r="J109" s="1">
        <f>TablaVentas[[#This Row],[Costo Unitario]]*TablaVentas[[#This Row],[Cantidad]]</f>
        <v>8626.2999999999993</v>
      </c>
      <c r="K109" s="1">
        <f>TablaVentas[[#This Row],[Total Venta]]-TablaVentas[[#This Row],[Total Costo]]</f>
        <v>5145.4000000000015</v>
      </c>
    </row>
    <row r="110" spans="1:11" x14ac:dyDescent="0.25">
      <c r="A110" s="2">
        <v>45006</v>
      </c>
      <c r="B110" s="1" t="s">
        <v>34</v>
      </c>
      <c r="C110" s="1" t="s">
        <v>13</v>
      </c>
      <c r="D110" s="1" t="s">
        <v>27</v>
      </c>
      <c r="E110" s="1" t="s">
        <v>11</v>
      </c>
      <c r="F110" s="1">
        <v>1</v>
      </c>
      <c r="G110" s="1">
        <v>306.76</v>
      </c>
      <c r="H110" s="1">
        <v>178.47</v>
      </c>
      <c r="I110" s="1">
        <f>TablaVentas[[#This Row],[Precio Unitario]]*TablaVentas[[#This Row],[Cantidad]]</f>
        <v>306.76</v>
      </c>
      <c r="J110" s="1">
        <f>TablaVentas[[#This Row],[Costo Unitario]]*TablaVentas[[#This Row],[Cantidad]]</f>
        <v>178.47</v>
      </c>
      <c r="K110" s="1">
        <f>TablaVentas[[#This Row],[Total Venta]]-TablaVentas[[#This Row],[Total Costo]]</f>
        <v>128.29</v>
      </c>
    </row>
    <row r="111" spans="1:11" x14ac:dyDescent="0.25">
      <c r="A111" s="2">
        <v>45007</v>
      </c>
      <c r="B111" s="1" t="s">
        <v>8</v>
      </c>
      <c r="C111" s="1" t="s">
        <v>9</v>
      </c>
      <c r="D111" s="1" t="s">
        <v>33</v>
      </c>
      <c r="E111" s="1" t="s">
        <v>15</v>
      </c>
      <c r="F111" s="1">
        <v>4</v>
      </c>
      <c r="G111" s="1">
        <v>658.88</v>
      </c>
      <c r="H111" s="1">
        <v>512.70000000000005</v>
      </c>
      <c r="I111" s="1">
        <f>TablaVentas[[#This Row],[Precio Unitario]]*TablaVentas[[#This Row],[Cantidad]]</f>
        <v>2635.52</v>
      </c>
      <c r="J111" s="1">
        <f>TablaVentas[[#This Row],[Costo Unitario]]*TablaVentas[[#This Row],[Cantidad]]</f>
        <v>2050.8000000000002</v>
      </c>
      <c r="K111" s="1">
        <f>TablaVentas[[#This Row],[Total Venta]]-TablaVentas[[#This Row],[Total Costo]]</f>
        <v>584.7199999999998</v>
      </c>
    </row>
    <row r="112" spans="1:11" x14ac:dyDescent="0.25">
      <c r="A112" s="2">
        <v>45008</v>
      </c>
      <c r="B112" s="1" t="s">
        <v>23</v>
      </c>
      <c r="C112" s="1" t="s">
        <v>9</v>
      </c>
      <c r="D112" s="1" t="s">
        <v>17</v>
      </c>
      <c r="E112" s="1" t="s">
        <v>15</v>
      </c>
      <c r="F112" s="1">
        <v>2</v>
      </c>
      <c r="G112" s="1">
        <v>67.569999999999993</v>
      </c>
      <c r="H112" s="1">
        <v>48.15</v>
      </c>
      <c r="I112" s="1">
        <f>TablaVentas[[#This Row],[Precio Unitario]]*TablaVentas[[#This Row],[Cantidad]]</f>
        <v>135.13999999999999</v>
      </c>
      <c r="J112" s="1">
        <f>TablaVentas[[#This Row],[Costo Unitario]]*TablaVentas[[#This Row],[Cantidad]]</f>
        <v>96.3</v>
      </c>
      <c r="K112" s="1">
        <f>TablaVentas[[#This Row],[Total Venta]]-TablaVentas[[#This Row],[Total Costo]]</f>
        <v>38.839999999999989</v>
      </c>
    </row>
    <row r="113" spans="1:11" x14ac:dyDescent="0.25">
      <c r="A113" s="2">
        <v>45008</v>
      </c>
      <c r="B113" s="1" t="s">
        <v>12</v>
      </c>
      <c r="C113" s="1" t="s">
        <v>13</v>
      </c>
      <c r="D113" s="1" t="s">
        <v>25</v>
      </c>
      <c r="E113" s="1" t="s">
        <v>11</v>
      </c>
      <c r="F113" s="1">
        <v>8</v>
      </c>
      <c r="G113" s="1">
        <v>64.05</v>
      </c>
      <c r="H113" s="1">
        <v>40.729999999999997</v>
      </c>
      <c r="I113" s="1">
        <f>TablaVentas[[#This Row],[Precio Unitario]]*TablaVentas[[#This Row],[Cantidad]]</f>
        <v>512.4</v>
      </c>
      <c r="J113" s="1">
        <f>TablaVentas[[#This Row],[Costo Unitario]]*TablaVentas[[#This Row],[Cantidad]]</f>
        <v>325.83999999999997</v>
      </c>
      <c r="K113" s="1">
        <f>TablaVentas[[#This Row],[Total Venta]]-TablaVentas[[#This Row],[Total Costo]]</f>
        <v>186.56</v>
      </c>
    </row>
    <row r="114" spans="1:11" x14ac:dyDescent="0.25">
      <c r="A114" s="2">
        <v>45008</v>
      </c>
      <c r="B114" s="1" t="s">
        <v>26</v>
      </c>
      <c r="C114" s="1" t="s">
        <v>19</v>
      </c>
      <c r="D114" s="1" t="s">
        <v>27</v>
      </c>
      <c r="E114" s="1" t="s">
        <v>22</v>
      </c>
      <c r="F114" s="1">
        <v>1</v>
      </c>
      <c r="G114" s="1">
        <v>40.770000000000003</v>
      </c>
      <c r="H114" s="1">
        <v>27.3</v>
      </c>
      <c r="I114" s="1">
        <f>TablaVentas[[#This Row],[Precio Unitario]]*TablaVentas[[#This Row],[Cantidad]]</f>
        <v>40.770000000000003</v>
      </c>
      <c r="J114" s="1">
        <f>TablaVentas[[#This Row],[Costo Unitario]]*TablaVentas[[#This Row],[Cantidad]]</f>
        <v>27.3</v>
      </c>
      <c r="K114" s="1">
        <f>TablaVentas[[#This Row],[Total Venta]]-TablaVentas[[#This Row],[Total Costo]]</f>
        <v>13.470000000000002</v>
      </c>
    </row>
    <row r="115" spans="1:11" x14ac:dyDescent="0.25">
      <c r="A115" s="2">
        <v>45010</v>
      </c>
      <c r="B115" s="1" t="s">
        <v>34</v>
      </c>
      <c r="C115" s="1" t="s">
        <v>13</v>
      </c>
      <c r="D115" s="1" t="s">
        <v>31</v>
      </c>
      <c r="E115" s="1" t="s">
        <v>20</v>
      </c>
      <c r="F115" s="1">
        <v>1</v>
      </c>
      <c r="G115" s="1">
        <v>246.58</v>
      </c>
      <c r="H115" s="1">
        <v>206.3</v>
      </c>
      <c r="I115" s="1">
        <f>TablaVentas[[#This Row],[Precio Unitario]]*TablaVentas[[#This Row],[Cantidad]]</f>
        <v>246.58</v>
      </c>
      <c r="J115" s="1">
        <f>TablaVentas[[#This Row],[Costo Unitario]]*TablaVentas[[#This Row],[Cantidad]]</f>
        <v>206.3</v>
      </c>
      <c r="K115" s="1">
        <f>TablaVentas[[#This Row],[Total Venta]]-TablaVentas[[#This Row],[Total Costo]]</f>
        <v>40.28</v>
      </c>
    </row>
    <row r="116" spans="1:11" x14ac:dyDescent="0.25">
      <c r="A116" s="2">
        <v>45010</v>
      </c>
      <c r="B116" s="1" t="s">
        <v>32</v>
      </c>
      <c r="C116" s="1" t="s">
        <v>30</v>
      </c>
      <c r="D116" s="1" t="s">
        <v>33</v>
      </c>
      <c r="E116" s="1" t="s">
        <v>15</v>
      </c>
      <c r="F116" s="1">
        <v>8</v>
      </c>
      <c r="G116" s="1">
        <v>293.24</v>
      </c>
      <c r="H116" s="1">
        <v>205.22</v>
      </c>
      <c r="I116" s="1">
        <f>TablaVentas[[#This Row],[Precio Unitario]]*TablaVentas[[#This Row],[Cantidad]]</f>
        <v>2345.92</v>
      </c>
      <c r="J116" s="1">
        <f>TablaVentas[[#This Row],[Costo Unitario]]*TablaVentas[[#This Row],[Cantidad]]</f>
        <v>1641.76</v>
      </c>
      <c r="K116" s="1">
        <f>TablaVentas[[#This Row],[Total Venta]]-TablaVentas[[#This Row],[Total Costo]]</f>
        <v>704.16000000000008</v>
      </c>
    </row>
    <row r="117" spans="1:11" x14ac:dyDescent="0.25">
      <c r="A117" s="2">
        <v>45011</v>
      </c>
      <c r="B117" s="1" t="s">
        <v>32</v>
      </c>
      <c r="C117" s="1" t="s">
        <v>30</v>
      </c>
      <c r="D117" s="1" t="s">
        <v>27</v>
      </c>
      <c r="E117" s="1" t="s">
        <v>15</v>
      </c>
      <c r="F117" s="1">
        <v>10</v>
      </c>
      <c r="G117" s="1">
        <v>301.52999999999997</v>
      </c>
      <c r="H117" s="1">
        <v>210.3</v>
      </c>
      <c r="I117" s="1">
        <f>TablaVentas[[#This Row],[Precio Unitario]]*TablaVentas[[#This Row],[Cantidad]]</f>
        <v>3015.2999999999997</v>
      </c>
      <c r="J117" s="1">
        <f>TablaVentas[[#This Row],[Costo Unitario]]*TablaVentas[[#This Row],[Cantidad]]</f>
        <v>2103</v>
      </c>
      <c r="K117" s="1">
        <f>TablaVentas[[#This Row],[Total Venta]]-TablaVentas[[#This Row],[Total Costo]]</f>
        <v>912.29999999999973</v>
      </c>
    </row>
    <row r="118" spans="1:11" x14ac:dyDescent="0.25">
      <c r="A118" s="2">
        <v>45012</v>
      </c>
      <c r="B118" s="1" t="s">
        <v>8</v>
      </c>
      <c r="C118" s="1" t="s">
        <v>9</v>
      </c>
      <c r="D118" s="1" t="s">
        <v>31</v>
      </c>
      <c r="E118" s="1" t="s">
        <v>11</v>
      </c>
      <c r="F118" s="1">
        <v>4</v>
      </c>
      <c r="G118" s="1">
        <v>765.56</v>
      </c>
      <c r="H118" s="1">
        <v>514.29</v>
      </c>
      <c r="I118" s="1">
        <f>TablaVentas[[#This Row],[Precio Unitario]]*TablaVentas[[#This Row],[Cantidad]]</f>
        <v>3062.24</v>
      </c>
      <c r="J118" s="1">
        <f>TablaVentas[[#This Row],[Costo Unitario]]*TablaVentas[[#This Row],[Cantidad]]</f>
        <v>2057.16</v>
      </c>
      <c r="K118" s="1">
        <f>TablaVentas[[#This Row],[Total Venta]]-TablaVentas[[#This Row],[Total Costo]]</f>
        <v>1005.0799999999999</v>
      </c>
    </row>
    <row r="119" spans="1:11" x14ac:dyDescent="0.25">
      <c r="A119" s="2">
        <v>45013</v>
      </c>
      <c r="B119" s="1" t="s">
        <v>34</v>
      </c>
      <c r="C119" s="1" t="s">
        <v>13</v>
      </c>
      <c r="D119" s="1" t="s">
        <v>31</v>
      </c>
      <c r="E119" s="1" t="s">
        <v>28</v>
      </c>
      <c r="F119" s="1">
        <v>7</v>
      </c>
      <c r="G119" s="1">
        <v>316.68</v>
      </c>
      <c r="H119" s="1">
        <v>197.55</v>
      </c>
      <c r="I119" s="1">
        <f>TablaVentas[[#This Row],[Precio Unitario]]*TablaVentas[[#This Row],[Cantidad]]</f>
        <v>2216.7600000000002</v>
      </c>
      <c r="J119" s="1">
        <f>TablaVentas[[#This Row],[Costo Unitario]]*TablaVentas[[#This Row],[Cantidad]]</f>
        <v>1382.8500000000001</v>
      </c>
      <c r="K119" s="1">
        <f>TablaVentas[[#This Row],[Total Venta]]-TablaVentas[[#This Row],[Total Costo]]</f>
        <v>833.91000000000008</v>
      </c>
    </row>
    <row r="120" spans="1:11" x14ac:dyDescent="0.25">
      <c r="A120" s="2">
        <v>45015</v>
      </c>
      <c r="B120" s="1" t="s">
        <v>8</v>
      </c>
      <c r="C120" s="1" t="s">
        <v>9</v>
      </c>
      <c r="D120" s="1" t="s">
        <v>33</v>
      </c>
      <c r="E120" s="1" t="s">
        <v>20</v>
      </c>
      <c r="F120" s="1">
        <v>9</v>
      </c>
      <c r="G120" s="1">
        <v>663.9</v>
      </c>
      <c r="H120" s="1">
        <v>478.11</v>
      </c>
      <c r="I120" s="1">
        <f>TablaVentas[[#This Row],[Precio Unitario]]*TablaVentas[[#This Row],[Cantidad]]</f>
        <v>5975.0999999999995</v>
      </c>
      <c r="J120" s="1">
        <f>TablaVentas[[#This Row],[Costo Unitario]]*TablaVentas[[#This Row],[Cantidad]]</f>
        <v>4302.99</v>
      </c>
      <c r="K120" s="1">
        <f>TablaVentas[[#This Row],[Total Venta]]-TablaVentas[[#This Row],[Total Costo]]</f>
        <v>1672.1099999999997</v>
      </c>
    </row>
    <row r="121" spans="1:11" x14ac:dyDescent="0.25">
      <c r="A121" s="2">
        <v>45015</v>
      </c>
      <c r="B121" s="1" t="s">
        <v>12</v>
      </c>
      <c r="C121" s="1" t="s">
        <v>13</v>
      </c>
      <c r="D121" s="1" t="s">
        <v>31</v>
      </c>
      <c r="E121" s="1" t="s">
        <v>11</v>
      </c>
      <c r="F121" s="1">
        <v>1</v>
      </c>
      <c r="G121" s="1">
        <v>58.58</v>
      </c>
      <c r="H121" s="1">
        <v>44.07</v>
      </c>
      <c r="I121" s="1">
        <f>TablaVentas[[#This Row],[Precio Unitario]]*TablaVentas[[#This Row],[Cantidad]]</f>
        <v>58.58</v>
      </c>
      <c r="J121" s="1">
        <f>TablaVentas[[#This Row],[Costo Unitario]]*TablaVentas[[#This Row],[Cantidad]]</f>
        <v>44.07</v>
      </c>
      <c r="K121" s="1">
        <f>TablaVentas[[#This Row],[Total Venta]]-TablaVentas[[#This Row],[Total Costo]]</f>
        <v>14.509999999999998</v>
      </c>
    </row>
    <row r="122" spans="1:11" x14ac:dyDescent="0.25">
      <c r="A122" s="2">
        <v>45016</v>
      </c>
      <c r="B122" s="1" t="s">
        <v>23</v>
      </c>
      <c r="C122" s="1" t="s">
        <v>9</v>
      </c>
      <c r="D122" s="1" t="s">
        <v>14</v>
      </c>
      <c r="E122" s="1" t="s">
        <v>15</v>
      </c>
      <c r="F122" s="1">
        <v>9</v>
      </c>
      <c r="G122" s="1">
        <v>80.5</v>
      </c>
      <c r="H122" s="1">
        <v>46.33</v>
      </c>
      <c r="I122" s="1">
        <f>TablaVentas[[#This Row],[Precio Unitario]]*TablaVentas[[#This Row],[Cantidad]]</f>
        <v>724.5</v>
      </c>
      <c r="J122" s="1">
        <f>TablaVentas[[#This Row],[Costo Unitario]]*TablaVentas[[#This Row],[Cantidad]]</f>
        <v>416.96999999999997</v>
      </c>
      <c r="K122" s="1">
        <f>TablaVentas[[#This Row],[Total Venta]]-TablaVentas[[#This Row],[Total Costo]]</f>
        <v>307.53000000000003</v>
      </c>
    </row>
    <row r="123" spans="1:11" x14ac:dyDescent="0.25">
      <c r="A123" s="2">
        <v>45016</v>
      </c>
      <c r="B123" s="1" t="s">
        <v>8</v>
      </c>
      <c r="C123" s="1" t="s">
        <v>9</v>
      </c>
      <c r="D123" s="1" t="s">
        <v>14</v>
      </c>
      <c r="E123" s="1" t="s">
        <v>11</v>
      </c>
      <c r="F123" s="1">
        <v>1</v>
      </c>
      <c r="G123" s="1">
        <v>628.5</v>
      </c>
      <c r="H123" s="1">
        <v>465.41</v>
      </c>
      <c r="I123" s="1">
        <f>TablaVentas[[#This Row],[Precio Unitario]]*TablaVentas[[#This Row],[Cantidad]]</f>
        <v>628.5</v>
      </c>
      <c r="J123" s="1">
        <f>TablaVentas[[#This Row],[Costo Unitario]]*TablaVentas[[#This Row],[Cantidad]]</f>
        <v>465.41</v>
      </c>
      <c r="K123" s="1">
        <f>TablaVentas[[#This Row],[Total Venta]]-TablaVentas[[#This Row],[Total Costo]]</f>
        <v>163.08999999999997</v>
      </c>
    </row>
    <row r="124" spans="1:11" x14ac:dyDescent="0.25">
      <c r="A124" s="2">
        <v>45016</v>
      </c>
      <c r="B124" s="1" t="s">
        <v>34</v>
      </c>
      <c r="C124" s="1" t="s">
        <v>13</v>
      </c>
      <c r="D124" s="1" t="s">
        <v>17</v>
      </c>
      <c r="E124" s="1" t="s">
        <v>22</v>
      </c>
      <c r="F124" s="1">
        <v>10</v>
      </c>
      <c r="G124" s="1">
        <v>244.96</v>
      </c>
      <c r="H124" s="1">
        <v>175.14</v>
      </c>
      <c r="I124" s="1">
        <f>TablaVentas[[#This Row],[Precio Unitario]]*TablaVentas[[#This Row],[Cantidad]]</f>
        <v>2449.6</v>
      </c>
      <c r="J124" s="1">
        <f>TablaVentas[[#This Row],[Costo Unitario]]*TablaVentas[[#This Row],[Cantidad]]</f>
        <v>1751.3999999999999</v>
      </c>
      <c r="K124" s="1">
        <f>TablaVentas[[#This Row],[Total Venta]]-TablaVentas[[#This Row],[Total Costo]]</f>
        <v>698.2</v>
      </c>
    </row>
    <row r="125" spans="1:11" x14ac:dyDescent="0.25">
      <c r="A125" s="2">
        <v>45017</v>
      </c>
      <c r="B125" s="1" t="s">
        <v>32</v>
      </c>
      <c r="C125" s="1" t="s">
        <v>30</v>
      </c>
      <c r="D125" s="1" t="s">
        <v>31</v>
      </c>
      <c r="E125" s="1" t="s">
        <v>28</v>
      </c>
      <c r="F125" s="1">
        <v>10</v>
      </c>
      <c r="G125" s="1">
        <v>300.75</v>
      </c>
      <c r="H125" s="1">
        <v>198.49</v>
      </c>
      <c r="I125" s="1">
        <f>TablaVentas[[#This Row],[Precio Unitario]]*TablaVentas[[#This Row],[Cantidad]]</f>
        <v>3007.5</v>
      </c>
      <c r="J125" s="1">
        <f>TablaVentas[[#This Row],[Costo Unitario]]*TablaVentas[[#This Row],[Cantidad]]</f>
        <v>1984.9</v>
      </c>
      <c r="K125" s="1">
        <f>TablaVentas[[#This Row],[Total Venta]]-TablaVentas[[#This Row],[Total Costo]]</f>
        <v>1022.5999999999999</v>
      </c>
    </row>
    <row r="126" spans="1:11" x14ac:dyDescent="0.25">
      <c r="A126" s="2">
        <v>45017</v>
      </c>
      <c r="B126" s="1" t="s">
        <v>8</v>
      </c>
      <c r="C126" s="1" t="s">
        <v>9</v>
      </c>
      <c r="D126" s="1" t="s">
        <v>14</v>
      </c>
      <c r="E126" s="1" t="s">
        <v>15</v>
      </c>
      <c r="F126" s="1">
        <v>3</v>
      </c>
      <c r="G126" s="1">
        <v>713.17</v>
      </c>
      <c r="H126" s="1">
        <v>447.11</v>
      </c>
      <c r="I126" s="1">
        <f>TablaVentas[[#This Row],[Precio Unitario]]*TablaVentas[[#This Row],[Cantidad]]</f>
        <v>2139.5099999999998</v>
      </c>
      <c r="J126" s="1">
        <f>TablaVentas[[#This Row],[Costo Unitario]]*TablaVentas[[#This Row],[Cantidad]]</f>
        <v>1341.33</v>
      </c>
      <c r="K126" s="1">
        <f>TablaVentas[[#This Row],[Total Venta]]-TablaVentas[[#This Row],[Total Costo]]</f>
        <v>798.17999999999984</v>
      </c>
    </row>
    <row r="127" spans="1:11" x14ac:dyDescent="0.25">
      <c r="A127" s="2">
        <v>45017</v>
      </c>
      <c r="B127" s="1" t="s">
        <v>26</v>
      </c>
      <c r="C127" s="1" t="s">
        <v>19</v>
      </c>
      <c r="D127" s="1" t="s">
        <v>14</v>
      </c>
      <c r="E127" s="1" t="s">
        <v>22</v>
      </c>
      <c r="F127" s="1">
        <v>7</v>
      </c>
      <c r="G127" s="1">
        <v>42.08</v>
      </c>
      <c r="H127" s="1">
        <v>25.18</v>
      </c>
      <c r="I127" s="1">
        <f>TablaVentas[[#This Row],[Precio Unitario]]*TablaVentas[[#This Row],[Cantidad]]</f>
        <v>294.56</v>
      </c>
      <c r="J127" s="1">
        <f>TablaVentas[[#This Row],[Costo Unitario]]*TablaVentas[[#This Row],[Cantidad]]</f>
        <v>176.26</v>
      </c>
      <c r="K127" s="1">
        <f>TablaVentas[[#This Row],[Total Venta]]-TablaVentas[[#This Row],[Total Costo]]</f>
        <v>118.30000000000001</v>
      </c>
    </row>
    <row r="128" spans="1:11" x14ac:dyDescent="0.25">
      <c r="A128" s="2">
        <v>45019</v>
      </c>
      <c r="B128" s="1" t="s">
        <v>32</v>
      </c>
      <c r="C128" s="1" t="s">
        <v>30</v>
      </c>
      <c r="D128" s="1" t="s">
        <v>25</v>
      </c>
      <c r="E128" s="1" t="s">
        <v>22</v>
      </c>
      <c r="F128" s="1">
        <v>6</v>
      </c>
      <c r="G128" s="1">
        <v>328.83</v>
      </c>
      <c r="H128" s="1">
        <v>222.96</v>
      </c>
      <c r="I128" s="1">
        <f>TablaVentas[[#This Row],[Precio Unitario]]*TablaVentas[[#This Row],[Cantidad]]</f>
        <v>1972.98</v>
      </c>
      <c r="J128" s="1">
        <f>TablaVentas[[#This Row],[Costo Unitario]]*TablaVentas[[#This Row],[Cantidad]]</f>
        <v>1337.76</v>
      </c>
      <c r="K128" s="1">
        <f>TablaVentas[[#This Row],[Total Venta]]-TablaVentas[[#This Row],[Total Costo]]</f>
        <v>635.22</v>
      </c>
    </row>
    <row r="129" spans="1:11" x14ac:dyDescent="0.25">
      <c r="A129" s="2">
        <v>45019</v>
      </c>
      <c r="B129" s="1" t="s">
        <v>16</v>
      </c>
      <c r="C129" s="1" t="s">
        <v>13</v>
      </c>
      <c r="D129" s="1" t="s">
        <v>14</v>
      </c>
      <c r="E129" s="1" t="s">
        <v>28</v>
      </c>
      <c r="F129" s="1">
        <v>10</v>
      </c>
      <c r="G129" s="1">
        <v>63.19</v>
      </c>
      <c r="H129" s="1">
        <v>34.799999999999997</v>
      </c>
      <c r="I129" s="1">
        <f>TablaVentas[[#This Row],[Precio Unitario]]*TablaVentas[[#This Row],[Cantidad]]</f>
        <v>631.9</v>
      </c>
      <c r="J129" s="1">
        <f>TablaVentas[[#This Row],[Costo Unitario]]*TablaVentas[[#This Row],[Cantidad]]</f>
        <v>348</v>
      </c>
      <c r="K129" s="1">
        <f>TablaVentas[[#This Row],[Total Venta]]-TablaVentas[[#This Row],[Total Costo]]</f>
        <v>283.89999999999998</v>
      </c>
    </row>
    <row r="130" spans="1:11" x14ac:dyDescent="0.25">
      <c r="A130" s="2">
        <v>45019</v>
      </c>
      <c r="B130" s="1" t="s">
        <v>34</v>
      </c>
      <c r="C130" s="1" t="s">
        <v>13</v>
      </c>
      <c r="D130" s="1" t="s">
        <v>14</v>
      </c>
      <c r="E130" s="1" t="s">
        <v>15</v>
      </c>
      <c r="F130" s="1">
        <v>6</v>
      </c>
      <c r="G130" s="1">
        <v>245.81</v>
      </c>
      <c r="H130" s="1">
        <v>175.11</v>
      </c>
      <c r="I130" s="1">
        <f>TablaVentas[[#This Row],[Precio Unitario]]*TablaVentas[[#This Row],[Cantidad]]</f>
        <v>1474.8600000000001</v>
      </c>
      <c r="J130" s="1">
        <f>TablaVentas[[#This Row],[Costo Unitario]]*TablaVentas[[#This Row],[Cantidad]]</f>
        <v>1050.6600000000001</v>
      </c>
      <c r="K130" s="1">
        <f>TablaVentas[[#This Row],[Total Venta]]-TablaVentas[[#This Row],[Total Costo]]</f>
        <v>424.20000000000005</v>
      </c>
    </row>
    <row r="131" spans="1:11" x14ac:dyDescent="0.25">
      <c r="A131" s="2">
        <v>45020</v>
      </c>
      <c r="B131" s="1" t="s">
        <v>21</v>
      </c>
      <c r="C131" s="1" t="s">
        <v>19</v>
      </c>
      <c r="D131" s="1" t="s">
        <v>27</v>
      </c>
      <c r="E131" s="1" t="s">
        <v>11</v>
      </c>
      <c r="F131" s="1">
        <v>3</v>
      </c>
      <c r="G131" s="1">
        <v>92.89</v>
      </c>
      <c r="H131" s="1">
        <v>49.37</v>
      </c>
      <c r="I131" s="1">
        <f>TablaVentas[[#This Row],[Precio Unitario]]*TablaVentas[[#This Row],[Cantidad]]</f>
        <v>278.67</v>
      </c>
      <c r="J131" s="1">
        <f>TablaVentas[[#This Row],[Costo Unitario]]*TablaVentas[[#This Row],[Cantidad]]</f>
        <v>148.10999999999999</v>
      </c>
      <c r="K131" s="1">
        <f>TablaVentas[[#This Row],[Total Venta]]-TablaVentas[[#This Row],[Total Costo]]</f>
        <v>130.56000000000003</v>
      </c>
    </row>
    <row r="132" spans="1:11" x14ac:dyDescent="0.25">
      <c r="A132" s="2">
        <v>45022</v>
      </c>
      <c r="B132" s="1" t="s">
        <v>8</v>
      </c>
      <c r="C132" s="1" t="s">
        <v>9</v>
      </c>
      <c r="D132" s="1" t="s">
        <v>31</v>
      </c>
      <c r="E132" s="1" t="s">
        <v>20</v>
      </c>
      <c r="F132" s="1">
        <v>2</v>
      </c>
      <c r="G132" s="1">
        <v>596</v>
      </c>
      <c r="H132" s="1">
        <v>451.87</v>
      </c>
      <c r="I132" s="1">
        <f>TablaVentas[[#This Row],[Precio Unitario]]*TablaVentas[[#This Row],[Cantidad]]</f>
        <v>1192</v>
      </c>
      <c r="J132" s="1">
        <f>TablaVentas[[#This Row],[Costo Unitario]]*TablaVentas[[#This Row],[Cantidad]]</f>
        <v>903.74</v>
      </c>
      <c r="K132" s="1">
        <f>TablaVentas[[#This Row],[Total Venta]]-TablaVentas[[#This Row],[Total Costo]]</f>
        <v>288.26</v>
      </c>
    </row>
    <row r="133" spans="1:11" x14ac:dyDescent="0.25">
      <c r="A133" s="2">
        <v>45023</v>
      </c>
      <c r="B133" s="1" t="s">
        <v>29</v>
      </c>
      <c r="C133" s="1" t="s">
        <v>30</v>
      </c>
      <c r="D133" s="1" t="s">
        <v>14</v>
      </c>
      <c r="E133" s="1" t="s">
        <v>11</v>
      </c>
      <c r="F133" s="1">
        <v>1</v>
      </c>
      <c r="G133" s="1">
        <v>503.38</v>
      </c>
      <c r="H133" s="1">
        <v>314.73</v>
      </c>
      <c r="I133" s="1">
        <f>TablaVentas[[#This Row],[Precio Unitario]]*TablaVentas[[#This Row],[Cantidad]]</f>
        <v>503.38</v>
      </c>
      <c r="J133" s="1">
        <f>TablaVentas[[#This Row],[Costo Unitario]]*TablaVentas[[#This Row],[Cantidad]]</f>
        <v>314.73</v>
      </c>
      <c r="K133" s="1">
        <f>TablaVentas[[#This Row],[Total Venta]]-TablaVentas[[#This Row],[Total Costo]]</f>
        <v>188.64999999999998</v>
      </c>
    </row>
    <row r="134" spans="1:11" x14ac:dyDescent="0.25">
      <c r="A134" s="2">
        <v>45024</v>
      </c>
      <c r="B134" s="1" t="s">
        <v>16</v>
      </c>
      <c r="C134" s="1" t="s">
        <v>13</v>
      </c>
      <c r="D134" s="1" t="s">
        <v>27</v>
      </c>
      <c r="E134" s="1" t="s">
        <v>20</v>
      </c>
      <c r="F134" s="1">
        <v>7</v>
      </c>
      <c r="G134" s="1">
        <v>48.56</v>
      </c>
      <c r="H134" s="1">
        <v>36.06</v>
      </c>
      <c r="I134" s="1">
        <f>TablaVentas[[#This Row],[Precio Unitario]]*TablaVentas[[#This Row],[Cantidad]]</f>
        <v>339.92</v>
      </c>
      <c r="J134" s="1">
        <f>TablaVentas[[#This Row],[Costo Unitario]]*TablaVentas[[#This Row],[Cantidad]]</f>
        <v>252.42000000000002</v>
      </c>
      <c r="K134" s="1">
        <f>TablaVentas[[#This Row],[Total Venta]]-TablaVentas[[#This Row],[Total Costo]]</f>
        <v>87.5</v>
      </c>
    </row>
    <row r="135" spans="1:11" x14ac:dyDescent="0.25">
      <c r="A135" s="2">
        <v>45024</v>
      </c>
      <c r="B135" s="1" t="s">
        <v>23</v>
      </c>
      <c r="C135" s="1" t="s">
        <v>9</v>
      </c>
      <c r="D135" s="1" t="s">
        <v>27</v>
      </c>
      <c r="E135" s="1" t="s">
        <v>20</v>
      </c>
      <c r="F135" s="1">
        <v>1</v>
      </c>
      <c r="G135" s="1">
        <v>80.95</v>
      </c>
      <c r="H135" s="1">
        <v>45.41</v>
      </c>
      <c r="I135" s="1">
        <f>TablaVentas[[#This Row],[Precio Unitario]]*TablaVentas[[#This Row],[Cantidad]]</f>
        <v>80.95</v>
      </c>
      <c r="J135" s="1">
        <f>TablaVentas[[#This Row],[Costo Unitario]]*TablaVentas[[#This Row],[Cantidad]]</f>
        <v>45.41</v>
      </c>
      <c r="K135" s="1">
        <f>TablaVentas[[#This Row],[Total Venta]]-TablaVentas[[#This Row],[Total Costo]]</f>
        <v>35.540000000000006</v>
      </c>
    </row>
    <row r="136" spans="1:11" x14ac:dyDescent="0.25">
      <c r="A136" s="2">
        <v>45024</v>
      </c>
      <c r="B136" s="1" t="s">
        <v>16</v>
      </c>
      <c r="C136" s="1" t="s">
        <v>13</v>
      </c>
      <c r="D136" s="1" t="s">
        <v>14</v>
      </c>
      <c r="E136" s="1" t="s">
        <v>11</v>
      </c>
      <c r="F136" s="1">
        <v>7</v>
      </c>
      <c r="G136" s="1">
        <v>61.54</v>
      </c>
      <c r="H136" s="1">
        <v>34.64</v>
      </c>
      <c r="I136" s="1">
        <f>TablaVentas[[#This Row],[Precio Unitario]]*TablaVentas[[#This Row],[Cantidad]]</f>
        <v>430.78</v>
      </c>
      <c r="J136" s="1">
        <f>TablaVentas[[#This Row],[Costo Unitario]]*TablaVentas[[#This Row],[Cantidad]]</f>
        <v>242.48000000000002</v>
      </c>
      <c r="K136" s="1">
        <f>TablaVentas[[#This Row],[Total Venta]]-TablaVentas[[#This Row],[Total Costo]]</f>
        <v>188.29999999999995</v>
      </c>
    </row>
    <row r="137" spans="1:11" x14ac:dyDescent="0.25">
      <c r="A137" s="2">
        <v>45024</v>
      </c>
      <c r="B137" s="1" t="s">
        <v>12</v>
      </c>
      <c r="C137" s="1" t="s">
        <v>13</v>
      </c>
      <c r="D137" s="1" t="s">
        <v>31</v>
      </c>
      <c r="E137" s="1" t="s">
        <v>28</v>
      </c>
      <c r="F137" s="1">
        <v>5</v>
      </c>
      <c r="G137" s="1">
        <v>56.18</v>
      </c>
      <c r="H137" s="1">
        <v>39.54</v>
      </c>
      <c r="I137" s="1">
        <f>TablaVentas[[#This Row],[Precio Unitario]]*TablaVentas[[#This Row],[Cantidad]]</f>
        <v>280.89999999999998</v>
      </c>
      <c r="J137" s="1">
        <f>TablaVentas[[#This Row],[Costo Unitario]]*TablaVentas[[#This Row],[Cantidad]]</f>
        <v>197.7</v>
      </c>
      <c r="K137" s="1">
        <f>TablaVentas[[#This Row],[Total Venta]]-TablaVentas[[#This Row],[Total Costo]]</f>
        <v>83.199999999999989</v>
      </c>
    </row>
    <row r="138" spans="1:11" x14ac:dyDescent="0.25">
      <c r="A138" s="2">
        <v>45025</v>
      </c>
      <c r="B138" s="1" t="s">
        <v>8</v>
      </c>
      <c r="C138" s="1" t="s">
        <v>9</v>
      </c>
      <c r="D138" s="1" t="s">
        <v>33</v>
      </c>
      <c r="E138" s="1" t="s">
        <v>11</v>
      </c>
      <c r="F138" s="1">
        <v>6</v>
      </c>
      <c r="G138" s="1">
        <v>735.64</v>
      </c>
      <c r="H138" s="1">
        <v>469.69</v>
      </c>
      <c r="I138" s="1">
        <f>TablaVentas[[#This Row],[Precio Unitario]]*TablaVentas[[#This Row],[Cantidad]]</f>
        <v>4413.84</v>
      </c>
      <c r="J138" s="1">
        <f>TablaVentas[[#This Row],[Costo Unitario]]*TablaVentas[[#This Row],[Cantidad]]</f>
        <v>2818.14</v>
      </c>
      <c r="K138" s="1">
        <f>TablaVentas[[#This Row],[Total Venta]]-TablaVentas[[#This Row],[Total Costo]]</f>
        <v>1595.7000000000003</v>
      </c>
    </row>
    <row r="139" spans="1:11" x14ac:dyDescent="0.25">
      <c r="A139" s="2">
        <v>45025</v>
      </c>
      <c r="B139" s="1" t="s">
        <v>12</v>
      </c>
      <c r="C139" s="1" t="s">
        <v>13</v>
      </c>
      <c r="D139" s="1" t="s">
        <v>31</v>
      </c>
      <c r="E139" s="1" t="s">
        <v>20</v>
      </c>
      <c r="F139" s="1">
        <v>10</v>
      </c>
      <c r="G139" s="1">
        <v>66.319999999999993</v>
      </c>
      <c r="H139" s="1">
        <v>43.24</v>
      </c>
      <c r="I139" s="1">
        <f>TablaVentas[[#This Row],[Precio Unitario]]*TablaVentas[[#This Row],[Cantidad]]</f>
        <v>663.19999999999993</v>
      </c>
      <c r="J139" s="1">
        <f>TablaVentas[[#This Row],[Costo Unitario]]*TablaVentas[[#This Row],[Cantidad]]</f>
        <v>432.40000000000003</v>
      </c>
      <c r="K139" s="1">
        <f>TablaVentas[[#This Row],[Total Venta]]-TablaVentas[[#This Row],[Total Costo]]</f>
        <v>230.7999999999999</v>
      </c>
    </row>
    <row r="140" spans="1:11" x14ac:dyDescent="0.25">
      <c r="A140" s="2">
        <v>45026</v>
      </c>
      <c r="B140" s="1" t="s">
        <v>34</v>
      </c>
      <c r="C140" s="1" t="s">
        <v>13</v>
      </c>
      <c r="D140" s="1" t="s">
        <v>14</v>
      </c>
      <c r="E140" s="1" t="s">
        <v>22</v>
      </c>
      <c r="F140" s="1">
        <v>9</v>
      </c>
      <c r="G140" s="1">
        <v>293.83</v>
      </c>
      <c r="H140" s="1">
        <v>181.34</v>
      </c>
      <c r="I140" s="1">
        <f>TablaVentas[[#This Row],[Precio Unitario]]*TablaVentas[[#This Row],[Cantidad]]</f>
        <v>2644.47</v>
      </c>
      <c r="J140" s="1">
        <f>TablaVentas[[#This Row],[Costo Unitario]]*TablaVentas[[#This Row],[Cantidad]]</f>
        <v>1632.06</v>
      </c>
      <c r="K140" s="1">
        <f>TablaVentas[[#This Row],[Total Venta]]-TablaVentas[[#This Row],[Total Costo]]</f>
        <v>1012.4099999999999</v>
      </c>
    </row>
    <row r="141" spans="1:11" x14ac:dyDescent="0.25">
      <c r="A141" s="2">
        <v>45027</v>
      </c>
      <c r="B141" s="1" t="s">
        <v>34</v>
      </c>
      <c r="C141" s="1" t="s">
        <v>13</v>
      </c>
      <c r="D141" s="1" t="s">
        <v>31</v>
      </c>
      <c r="E141" s="1" t="s">
        <v>22</v>
      </c>
      <c r="F141" s="1">
        <v>2</v>
      </c>
      <c r="G141" s="1">
        <v>247.71</v>
      </c>
      <c r="H141" s="1">
        <v>184.05</v>
      </c>
      <c r="I141" s="1">
        <f>TablaVentas[[#This Row],[Precio Unitario]]*TablaVentas[[#This Row],[Cantidad]]</f>
        <v>495.42</v>
      </c>
      <c r="J141" s="1">
        <f>TablaVentas[[#This Row],[Costo Unitario]]*TablaVentas[[#This Row],[Cantidad]]</f>
        <v>368.1</v>
      </c>
      <c r="K141" s="1">
        <f>TablaVentas[[#This Row],[Total Venta]]-TablaVentas[[#This Row],[Total Costo]]</f>
        <v>127.32</v>
      </c>
    </row>
    <row r="142" spans="1:11" x14ac:dyDescent="0.25">
      <c r="A142" s="2">
        <v>45027</v>
      </c>
      <c r="B142" s="1" t="s">
        <v>32</v>
      </c>
      <c r="C142" s="1" t="s">
        <v>30</v>
      </c>
      <c r="D142" s="1" t="s">
        <v>27</v>
      </c>
      <c r="E142" s="1" t="s">
        <v>15</v>
      </c>
      <c r="F142" s="1">
        <v>5</v>
      </c>
      <c r="G142" s="1">
        <v>310.61</v>
      </c>
      <c r="H142" s="1">
        <v>221.53</v>
      </c>
      <c r="I142" s="1">
        <f>TablaVentas[[#This Row],[Precio Unitario]]*TablaVentas[[#This Row],[Cantidad]]</f>
        <v>1553.0500000000002</v>
      </c>
      <c r="J142" s="1">
        <f>TablaVentas[[#This Row],[Costo Unitario]]*TablaVentas[[#This Row],[Cantidad]]</f>
        <v>1107.6500000000001</v>
      </c>
      <c r="K142" s="1">
        <f>TablaVentas[[#This Row],[Total Venta]]-TablaVentas[[#This Row],[Total Costo]]</f>
        <v>445.40000000000009</v>
      </c>
    </row>
    <row r="143" spans="1:11" x14ac:dyDescent="0.25">
      <c r="A143" s="2">
        <v>45028</v>
      </c>
      <c r="B143" s="1" t="s">
        <v>16</v>
      </c>
      <c r="C143" s="1" t="s">
        <v>13</v>
      </c>
      <c r="D143" s="1" t="s">
        <v>24</v>
      </c>
      <c r="E143" s="1" t="s">
        <v>28</v>
      </c>
      <c r="F143" s="1">
        <v>3</v>
      </c>
      <c r="G143" s="1">
        <v>59.64</v>
      </c>
      <c r="H143" s="1">
        <v>34.9</v>
      </c>
      <c r="I143" s="1">
        <f>TablaVentas[[#This Row],[Precio Unitario]]*TablaVentas[[#This Row],[Cantidad]]</f>
        <v>178.92000000000002</v>
      </c>
      <c r="J143" s="1">
        <f>TablaVentas[[#This Row],[Costo Unitario]]*TablaVentas[[#This Row],[Cantidad]]</f>
        <v>104.69999999999999</v>
      </c>
      <c r="K143" s="1">
        <f>TablaVentas[[#This Row],[Total Venta]]-TablaVentas[[#This Row],[Total Costo]]</f>
        <v>74.220000000000027</v>
      </c>
    </row>
    <row r="144" spans="1:11" x14ac:dyDescent="0.25">
      <c r="A144" s="2">
        <v>45030</v>
      </c>
      <c r="B144" s="1" t="s">
        <v>34</v>
      </c>
      <c r="C144" s="1" t="s">
        <v>13</v>
      </c>
      <c r="D144" s="1" t="s">
        <v>27</v>
      </c>
      <c r="E144" s="1" t="s">
        <v>11</v>
      </c>
      <c r="F144" s="1">
        <v>7</v>
      </c>
      <c r="G144" s="1">
        <v>316.23</v>
      </c>
      <c r="H144" s="1">
        <v>207.36</v>
      </c>
      <c r="I144" s="1">
        <f>TablaVentas[[#This Row],[Precio Unitario]]*TablaVentas[[#This Row],[Cantidad]]</f>
        <v>2213.61</v>
      </c>
      <c r="J144" s="1">
        <f>TablaVentas[[#This Row],[Costo Unitario]]*TablaVentas[[#This Row],[Cantidad]]</f>
        <v>1451.52</v>
      </c>
      <c r="K144" s="1">
        <f>TablaVentas[[#This Row],[Total Venta]]-TablaVentas[[#This Row],[Total Costo]]</f>
        <v>762.09000000000015</v>
      </c>
    </row>
    <row r="145" spans="1:11" x14ac:dyDescent="0.25">
      <c r="A145" s="2">
        <v>45033</v>
      </c>
      <c r="B145" s="1" t="s">
        <v>29</v>
      </c>
      <c r="C145" s="1" t="s">
        <v>30</v>
      </c>
      <c r="D145" s="1" t="s">
        <v>10</v>
      </c>
      <c r="E145" s="1" t="s">
        <v>20</v>
      </c>
      <c r="F145" s="1">
        <v>6</v>
      </c>
      <c r="G145" s="1">
        <v>517.49</v>
      </c>
      <c r="H145" s="1">
        <v>293.45999999999998</v>
      </c>
      <c r="I145" s="1">
        <f>TablaVentas[[#This Row],[Precio Unitario]]*TablaVentas[[#This Row],[Cantidad]]</f>
        <v>3104.94</v>
      </c>
      <c r="J145" s="1">
        <f>TablaVentas[[#This Row],[Costo Unitario]]*TablaVentas[[#This Row],[Cantidad]]</f>
        <v>1760.7599999999998</v>
      </c>
      <c r="K145" s="1">
        <f>TablaVentas[[#This Row],[Total Venta]]-TablaVentas[[#This Row],[Total Costo]]</f>
        <v>1344.1800000000003</v>
      </c>
    </row>
    <row r="146" spans="1:11" x14ac:dyDescent="0.25">
      <c r="A146" s="2">
        <v>45035</v>
      </c>
      <c r="B146" s="1" t="s">
        <v>29</v>
      </c>
      <c r="C146" s="1" t="s">
        <v>30</v>
      </c>
      <c r="D146" s="1" t="s">
        <v>33</v>
      </c>
      <c r="E146" s="1" t="s">
        <v>11</v>
      </c>
      <c r="F146" s="1">
        <v>8</v>
      </c>
      <c r="G146" s="1">
        <v>419.86</v>
      </c>
      <c r="H146" s="1">
        <v>312.13</v>
      </c>
      <c r="I146" s="1">
        <f>TablaVentas[[#This Row],[Precio Unitario]]*TablaVentas[[#This Row],[Cantidad]]</f>
        <v>3358.88</v>
      </c>
      <c r="J146" s="1">
        <f>TablaVentas[[#This Row],[Costo Unitario]]*TablaVentas[[#This Row],[Cantidad]]</f>
        <v>2497.04</v>
      </c>
      <c r="K146" s="1">
        <f>TablaVentas[[#This Row],[Total Venta]]-TablaVentas[[#This Row],[Total Costo]]</f>
        <v>861.84000000000015</v>
      </c>
    </row>
    <row r="147" spans="1:11" x14ac:dyDescent="0.25">
      <c r="A147" s="2">
        <v>45036</v>
      </c>
      <c r="B147" s="1" t="s">
        <v>21</v>
      </c>
      <c r="C147" s="1" t="s">
        <v>19</v>
      </c>
      <c r="D147" s="1" t="s">
        <v>31</v>
      </c>
      <c r="E147" s="1" t="s">
        <v>11</v>
      </c>
      <c r="F147" s="1">
        <v>10</v>
      </c>
      <c r="G147" s="1">
        <v>82.05</v>
      </c>
      <c r="H147" s="1">
        <v>54.09</v>
      </c>
      <c r="I147" s="1">
        <f>TablaVentas[[#This Row],[Precio Unitario]]*TablaVentas[[#This Row],[Cantidad]]</f>
        <v>820.5</v>
      </c>
      <c r="J147" s="1">
        <f>TablaVentas[[#This Row],[Costo Unitario]]*TablaVentas[[#This Row],[Cantidad]]</f>
        <v>540.90000000000009</v>
      </c>
      <c r="K147" s="1">
        <f>TablaVentas[[#This Row],[Total Venta]]-TablaVentas[[#This Row],[Total Costo]]</f>
        <v>279.59999999999991</v>
      </c>
    </row>
    <row r="148" spans="1:11" x14ac:dyDescent="0.25">
      <c r="A148" s="2">
        <v>45037</v>
      </c>
      <c r="B148" s="1" t="s">
        <v>8</v>
      </c>
      <c r="C148" s="1" t="s">
        <v>9</v>
      </c>
      <c r="D148" s="1" t="s">
        <v>24</v>
      </c>
      <c r="E148" s="1" t="s">
        <v>11</v>
      </c>
      <c r="F148" s="1">
        <v>10</v>
      </c>
      <c r="G148" s="1">
        <v>601.32000000000005</v>
      </c>
      <c r="H148" s="1">
        <v>526.49</v>
      </c>
      <c r="I148" s="1">
        <f>TablaVentas[[#This Row],[Precio Unitario]]*TablaVentas[[#This Row],[Cantidad]]</f>
        <v>6013.2000000000007</v>
      </c>
      <c r="J148" s="1">
        <f>TablaVentas[[#This Row],[Costo Unitario]]*TablaVentas[[#This Row],[Cantidad]]</f>
        <v>5264.9</v>
      </c>
      <c r="K148" s="1">
        <f>TablaVentas[[#This Row],[Total Venta]]-TablaVentas[[#This Row],[Total Costo]]</f>
        <v>748.30000000000109</v>
      </c>
    </row>
    <row r="149" spans="1:11" x14ac:dyDescent="0.25">
      <c r="A149" s="2">
        <v>45037</v>
      </c>
      <c r="B149" s="1" t="s">
        <v>12</v>
      </c>
      <c r="C149" s="1" t="s">
        <v>13</v>
      </c>
      <c r="D149" s="1" t="s">
        <v>14</v>
      </c>
      <c r="E149" s="1" t="s">
        <v>20</v>
      </c>
      <c r="F149" s="1">
        <v>8</v>
      </c>
      <c r="G149" s="1">
        <v>64.400000000000006</v>
      </c>
      <c r="H149" s="1">
        <v>40.86</v>
      </c>
      <c r="I149" s="1">
        <f>TablaVentas[[#This Row],[Precio Unitario]]*TablaVentas[[#This Row],[Cantidad]]</f>
        <v>515.20000000000005</v>
      </c>
      <c r="J149" s="1">
        <f>TablaVentas[[#This Row],[Costo Unitario]]*TablaVentas[[#This Row],[Cantidad]]</f>
        <v>326.88</v>
      </c>
      <c r="K149" s="1">
        <f>TablaVentas[[#This Row],[Total Venta]]-TablaVentas[[#This Row],[Total Costo]]</f>
        <v>188.32000000000005</v>
      </c>
    </row>
    <row r="150" spans="1:11" x14ac:dyDescent="0.25">
      <c r="A150" s="2">
        <v>45037</v>
      </c>
      <c r="B150" s="1" t="s">
        <v>12</v>
      </c>
      <c r="C150" s="1" t="s">
        <v>13</v>
      </c>
      <c r="D150" s="1" t="s">
        <v>27</v>
      </c>
      <c r="E150" s="1" t="s">
        <v>28</v>
      </c>
      <c r="F150" s="1">
        <v>2</v>
      </c>
      <c r="G150" s="1">
        <v>68.680000000000007</v>
      </c>
      <c r="H150" s="1">
        <v>41.31</v>
      </c>
      <c r="I150" s="1">
        <f>TablaVentas[[#This Row],[Precio Unitario]]*TablaVentas[[#This Row],[Cantidad]]</f>
        <v>137.36000000000001</v>
      </c>
      <c r="J150" s="1">
        <f>TablaVentas[[#This Row],[Costo Unitario]]*TablaVentas[[#This Row],[Cantidad]]</f>
        <v>82.62</v>
      </c>
      <c r="K150" s="1">
        <f>TablaVentas[[#This Row],[Total Venta]]-TablaVentas[[#This Row],[Total Costo]]</f>
        <v>54.740000000000009</v>
      </c>
    </row>
    <row r="151" spans="1:11" x14ac:dyDescent="0.25">
      <c r="A151" s="2">
        <v>45037</v>
      </c>
      <c r="B151" s="1" t="s">
        <v>12</v>
      </c>
      <c r="C151" s="1" t="s">
        <v>13</v>
      </c>
      <c r="D151" s="1" t="s">
        <v>33</v>
      </c>
      <c r="E151" s="1" t="s">
        <v>22</v>
      </c>
      <c r="F151" s="1">
        <v>9</v>
      </c>
      <c r="G151" s="1">
        <v>73.88</v>
      </c>
      <c r="H151" s="1">
        <v>44.21</v>
      </c>
      <c r="I151" s="1">
        <f>TablaVentas[[#This Row],[Precio Unitario]]*TablaVentas[[#This Row],[Cantidad]]</f>
        <v>664.92</v>
      </c>
      <c r="J151" s="1">
        <f>TablaVentas[[#This Row],[Costo Unitario]]*TablaVentas[[#This Row],[Cantidad]]</f>
        <v>397.89</v>
      </c>
      <c r="K151" s="1">
        <f>TablaVentas[[#This Row],[Total Venta]]-TablaVentas[[#This Row],[Total Costo]]</f>
        <v>267.02999999999997</v>
      </c>
    </row>
    <row r="152" spans="1:11" x14ac:dyDescent="0.25">
      <c r="A152" s="2">
        <v>45038</v>
      </c>
      <c r="B152" s="1" t="s">
        <v>29</v>
      </c>
      <c r="C152" s="1" t="s">
        <v>30</v>
      </c>
      <c r="D152" s="1" t="s">
        <v>10</v>
      </c>
      <c r="E152" s="1" t="s">
        <v>22</v>
      </c>
      <c r="F152" s="1">
        <v>4</v>
      </c>
      <c r="G152" s="1">
        <v>480.8</v>
      </c>
      <c r="H152" s="1">
        <v>290.52999999999997</v>
      </c>
      <c r="I152" s="1">
        <f>TablaVentas[[#This Row],[Precio Unitario]]*TablaVentas[[#This Row],[Cantidad]]</f>
        <v>1923.2</v>
      </c>
      <c r="J152" s="1">
        <f>TablaVentas[[#This Row],[Costo Unitario]]*TablaVentas[[#This Row],[Cantidad]]</f>
        <v>1162.1199999999999</v>
      </c>
      <c r="K152" s="1">
        <f>TablaVentas[[#This Row],[Total Venta]]-TablaVentas[[#This Row],[Total Costo]]</f>
        <v>761.08000000000015</v>
      </c>
    </row>
    <row r="153" spans="1:11" x14ac:dyDescent="0.25">
      <c r="A153" s="2">
        <v>45038</v>
      </c>
      <c r="B153" s="1" t="s">
        <v>26</v>
      </c>
      <c r="C153" s="1" t="s">
        <v>19</v>
      </c>
      <c r="D153" s="1" t="s">
        <v>24</v>
      </c>
      <c r="E153" s="1" t="s">
        <v>22</v>
      </c>
      <c r="F153" s="1">
        <v>1</v>
      </c>
      <c r="G153" s="1">
        <v>41.29</v>
      </c>
      <c r="H153" s="1">
        <v>23.7</v>
      </c>
      <c r="I153" s="1">
        <f>TablaVentas[[#This Row],[Precio Unitario]]*TablaVentas[[#This Row],[Cantidad]]</f>
        <v>41.29</v>
      </c>
      <c r="J153" s="1">
        <f>TablaVentas[[#This Row],[Costo Unitario]]*TablaVentas[[#This Row],[Cantidad]]</f>
        <v>23.7</v>
      </c>
      <c r="K153" s="1">
        <f>TablaVentas[[#This Row],[Total Venta]]-TablaVentas[[#This Row],[Total Costo]]</f>
        <v>17.59</v>
      </c>
    </row>
    <row r="154" spans="1:11" x14ac:dyDescent="0.25">
      <c r="A154" s="2">
        <v>45038</v>
      </c>
      <c r="B154" s="1" t="s">
        <v>34</v>
      </c>
      <c r="C154" s="1" t="s">
        <v>13</v>
      </c>
      <c r="D154" s="1" t="s">
        <v>27</v>
      </c>
      <c r="E154" s="1" t="s">
        <v>15</v>
      </c>
      <c r="F154" s="1">
        <v>3</v>
      </c>
      <c r="G154" s="1">
        <v>317.83</v>
      </c>
      <c r="H154" s="1">
        <v>208.05</v>
      </c>
      <c r="I154" s="1">
        <f>TablaVentas[[#This Row],[Precio Unitario]]*TablaVentas[[#This Row],[Cantidad]]</f>
        <v>953.49</v>
      </c>
      <c r="J154" s="1">
        <f>TablaVentas[[#This Row],[Costo Unitario]]*TablaVentas[[#This Row],[Cantidad]]</f>
        <v>624.15000000000009</v>
      </c>
      <c r="K154" s="1">
        <f>TablaVentas[[#This Row],[Total Venta]]-TablaVentas[[#This Row],[Total Costo]]</f>
        <v>329.33999999999992</v>
      </c>
    </row>
    <row r="155" spans="1:11" x14ac:dyDescent="0.25">
      <c r="A155" s="2">
        <v>45038</v>
      </c>
      <c r="B155" s="1" t="s">
        <v>8</v>
      </c>
      <c r="C155" s="1" t="s">
        <v>9</v>
      </c>
      <c r="D155" s="1" t="s">
        <v>10</v>
      </c>
      <c r="E155" s="1" t="s">
        <v>28</v>
      </c>
      <c r="F155" s="1">
        <v>3</v>
      </c>
      <c r="G155" s="1">
        <v>619.33000000000004</v>
      </c>
      <c r="H155" s="1">
        <v>480.92</v>
      </c>
      <c r="I155" s="1">
        <f>TablaVentas[[#This Row],[Precio Unitario]]*TablaVentas[[#This Row],[Cantidad]]</f>
        <v>1857.9900000000002</v>
      </c>
      <c r="J155" s="1">
        <f>TablaVentas[[#This Row],[Costo Unitario]]*TablaVentas[[#This Row],[Cantidad]]</f>
        <v>1442.76</v>
      </c>
      <c r="K155" s="1">
        <f>TablaVentas[[#This Row],[Total Venta]]-TablaVentas[[#This Row],[Total Costo]]</f>
        <v>415.23000000000025</v>
      </c>
    </row>
    <row r="156" spans="1:11" x14ac:dyDescent="0.25">
      <c r="A156" s="2">
        <v>45039</v>
      </c>
      <c r="B156" s="1" t="s">
        <v>34</v>
      </c>
      <c r="C156" s="1" t="s">
        <v>13</v>
      </c>
      <c r="D156" s="1" t="s">
        <v>14</v>
      </c>
      <c r="E156" s="1" t="s">
        <v>22</v>
      </c>
      <c r="F156" s="1">
        <v>9</v>
      </c>
      <c r="G156" s="1">
        <v>303.31</v>
      </c>
      <c r="H156" s="1">
        <v>200.5</v>
      </c>
      <c r="I156" s="1">
        <f>TablaVentas[[#This Row],[Precio Unitario]]*TablaVentas[[#This Row],[Cantidad]]</f>
        <v>2729.79</v>
      </c>
      <c r="J156" s="1">
        <f>TablaVentas[[#This Row],[Costo Unitario]]*TablaVentas[[#This Row],[Cantidad]]</f>
        <v>1804.5</v>
      </c>
      <c r="K156" s="1">
        <f>TablaVentas[[#This Row],[Total Venta]]-TablaVentas[[#This Row],[Total Costo]]</f>
        <v>925.29</v>
      </c>
    </row>
    <row r="157" spans="1:11" x14ac:dyDescent="0.25">
      <c r="A157" s="2">
        <v>45039</v>
      </c>
      <c r="B157" s="1" t="s">
        <v>26</v>
      </c>
      <c r="C157" s="1" t="s">
        <v>19</v>
      </c>
      <c r="D157" s="1" t="s">
        <v>14</v>
      </c>
      <c r="E157" s="1" t="s">
        <v>15</v>
      </c>
      <c r="F157" s="1">
        <v>3</v>
      </c>
      <c r="G157" s="1">
        <v>39.450000000000003</v>
      </c>
      <c r="H157" s="1">
        <v>24.66</v>
      </c>
      <c r="I157" s="1">
        <f>TablaVentas[[#This Row],[Precio Unitario]]*TablaVentas[[#This Row],[Cantidad]]</f>
        <v>118.35000000000001</v>
      </c>
      <c r="J157" s="1">
        <f>TablaVentas[[#This Row],[Costo Unitario]]*TablaVentas[[#This Row],[Cantidad]]</f>
        <v>73.98</v>
      </c>
      <c r="K157" s="1">
        <f>TablaVentas[[#This Row],[Total Venta]]-TablaVentas[[#This Row],[Total Costo]]</f>
        <v>44.370000000000005</v>
      </c>
    </row>
    <row r="158" spans="1:11" x14ac:dyDescent="0.25">
      <c r="A158" s="2">
        <v>45039</v>
      </c>
      <c r="B158" s="1" t="s">
        <v>29</v>
      </c>
      <c r="C158" s="1" t="s">
        <v>30</v>
      </c>
      <c r="D158" s="1" t="s">
        <v>17</v>
      </c>
      <c r="E158" s="1" t="s">
        <v>11</v>
      </c>
      <c r="F158" s="1">
        <v>1</v>
      </c>
      <c r="G158" s="1">
        <v>504.93</v>
      </c>
      <c r="H158" s="1">
        <v>297</v>
      </c>
      <c r="I158" s="1">
        <f>TablaVentas[[#This Row],[Precio Unitario]]*TablaVentas[[#This Row],[Cantidad]]</f>
        <v>504.93</v>
      </c>
      <c r="J158" s="1">
        <f>TablaVentas[[#This Row],[Costo Unitario]]*TablaVentas[[#This Row],[Cantidad]]</f>
        <v>297</v>
      </c>
      <c r="K158" s="1">
        <f>TablaVentas[[#This Row],[Total Venta]]-TablaVentas[[#This Row],[Total Costo]]</f>
        <v>207.93</v>
      </c>
    </row>
    <row r="159" spans="1:11" x14ac:dyDescent="0.25">
      <c r="A159" s="2">
        <v>45039</v>
      </c>
      <c r="B159" s="1" t="s">
        <v>8</v>
      </c>
      <c r="C159" s="1" t="s">
        <v>9</v>
      </c>
      <c r="D159" s="1" t="s">
        <v>24</v>
      </c>
      <c r="E159" s="1" t="s">
        <v>28</v>
      </c>
      <c r="F159" s="1">
        <v>6</v>
      </c>
      <c r="G159" s="1">
        <v>776.55</v>
      </c>
      <c r="H159" s="1">
        <v>507.29</v>
      </c>
      <c r="I159" s="1">
        <f>TablaVentas[[#This Row],[Precio Unitario]]*TablaVentas[[#This Row],[Cantidad]]</f>
        <v>4659.2999999999993</v>
      </c>
      <c r="J159" s="1">
        <f>TablaVentas[[#This Row],[Costo Unitario]]*TablaVentas[[#This Row],[Cantidad]]</f>
        <v>3043.7400000000002</v>
      </c>
      <c r="K159" s="1">
        <f>TablaVentas[[#This Row],[Total Venta]]-TablaVentas[[#This Row],[Total Costo]]</f>
        <v>1615.559999999999</v>
      </c>
    </row>
    <row r="160" spans="1:11" x14ac:dyDescent="0.25">
      <c r="A160" s="2">
        <v>45040</v>
      </c>
      <c r="B160" s="1" t="s">
        <v>23</v>
      </c>
      <c r="C160" s="1" t="s">
        <v>9</v>
      </c>
      <c r="D160" s="1" t="s">
        <v>27</v>
      </c>
      <c r="E160" s="1" t="s">
        <v>22</v>
      </c>
      <c r="F160" s="1">
        <v>5</v>
      </c>
      <c r="G160" s="1">
        <v>66.09</v>
      </c>
      <c r="H160" s="1">
        <v>46.97</v>
      </c>
      <c r="I160" s="1">
        <f>TablaVentas[[#This Row],[Precio Unitario]]*TablaVentas[[#This Row],[Cantidad]]</f>
        <v>330.45000000000005</v>
      </c>
      <c r="J160" s="1">
        <f>TablaVentas[[#This Row],[Costo Unitario]]*TablaVentas[[#This Row],[Cantidad]]</f>
        <v>234.85</v>
      </c>
      <c r="K160" s="1">
        <f>TablaVentas[[#This Row],[Total Venta]]-TablaVentas[[#This Row],[Total Costo]]</f>
        <v>95.600000000000051</v>
      </c>
    </row>
    <row r="161" spans="1:11" x14ac:dyDescent="0.25">
      <c r="A161" s="2">
        <v>45041</v>
      </c>
      <c r="B161" s="1" t="s">
        <v>16</v>
      </c>
      <c r="C161" s="1" t="s">
        <v>13</v>
      </c>
      <c r="D161" s="1" t="s">
        <v>33</v>
      </c>
      <c r="E161" s="1" t="s">
        <v>15</v>
      </c>
      <c r="F161" s="1">
        <v>9</v>
      </c>
      <c r="G161" s="1">
        <v>58.47</v>
      </c>
      <c r="H161" s="1">
        <v>33.26</v>
      </c>
      <c r="I161" s="1">
        <f>TablaVentas[[#This Row],[Precio Unitario]]*TablaVentas[[#This Row],[Cantidad]]</f>
        <v>526.23</v>
      </c>
      <c r="J161" s="1">
        <f>TablaVentas[[#This Row],[Costo Unitario]]*TablaVentas[[#This Row],[Cantidad]]</f>
        <v>299.33999999999997</v>
      </c>
      <c r="K161" s="1">
        <f>TablaVentas[[#This Row],[Total Venta]]-TablaVentas[[#This Row],[Total Costo]]</f>
        <v>226.89000000000004</v>
      </c>
    </row>
    <row r="162" spans="1:11" x14ac:dyDescent="0.25">
      <c r="A162" s="2">
        <v>45042</v>
      </c>
      <c r="B162" s="1" t="s">
        <v>29</v>
      </c>
      <c r="C162" s="1" t="s">
        <v>30</v>
      </c>
      <c r="D162" s="1" t="s">
        <v>17</v>
      </c>
      <c r="E162" s="1" t="s">
        <v>28</v>
      </c>
      <c r="F162" s="1">
        <v>8</v>
      </c>
      <c r="G162" s="1">
        <v>389.51</v>
      </c>
      <c r="H162" s="1">
        <v>293.26</v>
      </c>
      <c r="I162" s="1">
        <f>TablaVentas[[#This Row],[Precio Unitario]]*TablaVentas[[#This Row],[Cantidad]]</f>
        <v>3116.08</v>
      </c>
      <c r="J162" s="1">
        <f>TablaVentas[[#This Row],[Costo Unitario]]*TablaVentas[[#This Row],[Cantidad]]</f>
        <v>2346.08</v>
      </c>
      <c r="K162" s="1">
        <f>TablaVentas[[#This Row],[Total Venta]]-TablaVentas[[#This Row],[Total Costo]]</f>
        <v>770</v>
      </c>
    </row>
    <row r="163" spans="1:11" x14ac:dyDescent="0.25">
      <c r="A163" s="2">
        <v>45043</v>
      </c>
      <c r="B163" s="1" t="s">
        <v>21</v>
      </c>
      <c r="C163" s="1" t="s">
        <v>19</v>
      </c>
      <c r="D163" s="1" t="s">
        <v>27</v>
      </c>
      <c r="E163" s="1" t="s">
        <v>20</v>
      </c>
      <c r="F163" s="1">
        <v>10</v>
      </c>
      <c r="G163" s="1">
        <v>86.17</v>
      </c>
      <c r="H163" s="1">
        <v>49.89</v>
      </c>
      <c r="I163" s="1">
        <f>TablaVentas[[#This Row],[Precio Unitario]]*TablaVentas[[#This Row],[Cantidad]]</f>
        <v>861.7</v>
      </c>
      <c r="J163" s="1">
        <f>TablaVentas[[#This Row],[Costo Unitario]]*TablaVentas[[#This Row],[Cantidad]]</f>
        <v>498.9</v>
      </c>
      <c r="K163" s="1">
        <f>TablaVentas[[#This Row],[Total Venta]]-TablaVentas[[#This Row],[Total Costo]]</f>
        <v>362.80000000000007</v>
      </c>
    </row>
    <row r="164" spans="1:11" x14ac:dyDescent="0.25">
      <c r="A164" s="2">
        <v>45044</v>
      </c>
      <c r="B164" s="1" t="s">
        <v>16</v>
      </c>
      <c r="C164" s="1" t="s">
        <v>13</v>
      </c>
      <c r="D164" s="1" t="s">
        <v>33</v>
      </c>
      <c r="E164" s="1" t="s">
        <v>22</v>
      </c>
      <c r="F164" s="1">
        <v>2</v>
      </c>
      <c r="G164" s="1">
        <v>54.99</v>
      </c>
      <c r="H164" s="1">
        <v>31.74</v>
      </c>
      <c r="I164" s="1">
        <f>TablaVentas[[#This Row],[Precio Unitario]]*TablaVentas[[#This Row],[Cantidad]]</f>
        <v>109.98</v>
      </c>
      <c r="J164" s="1">
        <f>TablaVentas[[#This Row],[Costo Unitario]]*TablaVentas[[#This Row],[Cantidad]]</f>
        <v>63.48</v>
      </c>
      <c r="K164" s="1">
        <f>TablaVentas[[#This Row],[Total Venta]]-TablaVentas[[#This Row],[Total Costo]]</f>
        <v>46.500000000000007</v>
      </c>
    </row>
    <row r="165" spans="1:11" x14ac:dyDescent="0.25">
      <c r="A165" s="2">
        <v>45045</v>
      </c>
      <c r="B165" s="1" t="s">
        <v>23</v>
      </c>
      <c r="C165" s="1" t="s">
        <v>9</v>
      </c>
      <c r="D165" s="1" t="s">
        <v>24</v>
      </c>
      <c r="E165" s="1" t="s">
        <v>11</v>
      </c>
      <c r="F165" s="1">
        <v>3</v>
      </c>
      <c r="G165" s="1">
        <v>83.52</v>
      </c>
      <c r="H165" s="1">
        <v>41.67</v>
      </c>
      <c r="I165" s="1">
        <f>TablaVentas[[#This Row],[Precio Unitario]]*TablaVentas[[#This Row],[Cantidad]]</f>
        <v>250.56</v>
      </c>
      <c r="J165" s="1">
        <f>TablaVentas[[#This Row],[Costo Unitario]]*TablaVentas[[#This Row],[Cantidad]]</f>
        <v>125.01</v>
      </c>
      <c r="K165" s="1">
        <f>TablaVentas[[#This Row],[Total Venta]]-TablaVentas[[#This Row],[Total Costo]]</f>
        <v>125.55</v>
      </c>
    </row>
    <row r="166" spans="1:11" x14ac:dyDescent="0.25">
      <c r="A166" s="2">
        <v>45045</v>
      </c>
      <c r="B166" s="1" t="s">
        <v>21</v>
      </c>
      <c r="C166" s="1" t="s">
        <v>19</v>
      </c>
      <c r="D166" s="1" t="s">
        <v>10</v>
      </c>
      <c r="E166" s="1" t="s">
        <v>11</v>
      </c>
      <c r="F166" s="1">
        <v>6</v>
      </c>
      <c r="G166" s="1">
        <v>100.17</v>
      </c>
      <c r="H166" s="1">
        <v>52.48</v>
      </c>
      <c r="I166" s="1">
        <f>TablaVentas[[#This Row],[Precio Unitario]]*TablaVentas[[#This Row],[Cantidad]]</f>
        <v>601.02</v>
      </c>
      <c r="J166" s="1">
        <f>TablaVentas[[#This Row],[Costo Unitario]]*TablaVentas[[#This Row],[Cantidad]]</f>
        <v>314.88</v>
      </c>
      <c r="K166" s="1">
        <f>TablaVentas[[#This Row],[Total Venta]]-TablaVentas[[#This Row],[Total Costo]]</f>
        <v>286.14</v>
      </c>
    </row>
    <row r="167" spans="1:11" x14ac:dyDescent="0.25">
      <c r="A167" s="2">
        <v>45045</v>
      </c>
      <c r="B167" s="1" t="s">
        <v>26</v>
      </c>
      <c r="C167" s="1" t="s">
        <v>19</v>
      </c>
      <c r="D167" s="1" t="s">
        <v>10</v>
      </c>
      <c r="E167" s="1" t="s">
        <v>15</v>
      </c>
      <c r="F167" s="1">
        <v>10</v>
      </c>
      <c r="G167" s="1">
        <v>50.91</v>
      </c>
      <c r="H167" s="1">
        <v>26.95</v>
      </c>
      <c r="I167" s="1">
        <f>TablaVentas[[#This Row],[Precio Unitario]]*TablaVentas[[#This Row],[Cantidad]]</f>
        <v>509.09999999999997</v>
      </c>
      <c r="J167" s="1">
        <f>TablaVentas[[#This Row],[Costo Unitario]]*TablaVentas[[#This Row],[Cantidad]]</f>
        <v>269.5</v>
      </c>
      <c r="K167" s="1">
        <f>TablaVentas[[#This Row],[Total Venta]]-TablaVentas[[#This Row],[Total Costo]]</f>
        <v>239.59999999999997</v>
      </c>
    </row>
    <row r="168" spans="1:11" x14ac:dyDescent="0.25">
      <c r="A168" s="2">
        <v>45045</v>
      </c>
      <c r="B168" s="1" t="s">
        <v>16</v>
      </c>
      <c r="C168" s="1" t="s">
        <v>13</v>
      </c>
      <c r="D168" s="1" t="s">
        <v>25</v>
      </c>
      <c r="E168" s="1" t="s">
        <v>28</v>
      </c>
      <c r="F168" s="1">
        <v>5</v>
      </c>
      <c r="G168" s="1">
        <v>62.55</v>
      </c>
      <c r="H168" s="1">
        <v>32.42</v>
      </c>
      <c r="I168" s="1">
        <f>TablaVentas[[#This Row],[Precio Unitario]]*TablaVentas[[#This Row],[Cantidad]]</f>
        <v>312.75</v>
      </c>
      <c r="J168" s="1">
        <f>TablaVentas[[#This Row],[Costo Unitario]]*TablaVentas[[#This Row],[Cantidad]]</f>
        <v>162.10000000000002</v>
      </c>
      <c r="K168" s="1">
        <f>TablaVentas[[#This Row],[Total Venta]]-TablaVentas[[#This Row],[Total Costo]]</f>
        <v>150.64999999999998</v>
      </c>
    </row>
    <row r="169" spans="1:11" x14ac:dyDescent="0.25">
      <c r="A169" s="2">
        <v>45045</v>
      </c>
      <c r="B169" s="1" t="s">
        <v>23</v>
      </c>
      <c r="C169" s="1" t="s">
        <v>9</v>
      </c>
      <c r="D169" s="1" t="s">
        <v>33</v>
      </c>
      <c r="E169" s="1" t="s">
        <v>15</v>
      </c>
      <c r="F169" s="1">
        <v>2</v>
      </c>
      <c r="G169" s="1">
        <v>64.34</v>
      </c>
      <c r="H169" s="1">
        <v>47.45</v>
      </c>
      <c r="I169" s="1">
        <f>TablaVentas[[#This Row],[Precio Unitario]]*TablaVentas[[#This Row],[Cantidad]]</f>
        <v>128.68</v>
      </c>
      <c r="J169" s="1">
        <f>TablaVentas[[#This Row],[Costo Unitario]]*TablaVentas[[#This Row],[Cantidad]]</f>
        <v>94.9</v>
      </c>
      <c r="K169" s="1">
        <f>TablaVentas[[#This Row],[Total Venta]]-TablaVentas[[#This Row],[Total Costo]]</f>
        <v>33.78</v>
      </c>
    </row>
    <row r="170" spans="1:11" x14ac:dyDescent="0.25">
      <c r="A170" s="2">
        <v>45045</v>
      </c>
      <c r="B170" s="1" t="s">
        <v>16</v>
      </c>
      <c r="C170" s="1" t="s">
        <v>13</v>
      </c>
      <c r="D170" s="1" t="s">
        <v>27</v>
      </c>
      <c r="E170" s="1" t="s">
        <v>11</v>
      </c>
      <c r="F170" s="1">
        <v>3</v>
      </c>
      <c r="G170" s="1">
        <v>58.1</v>
      </c>
      <c r="H170" s="1">
        <v>37.090000000000003</v>
      </c>
      <c r="I170" s="1">
        <f>TablaVentas[[#This Row],[Precio Unitario]]*TablaVentas[[#This Row],[Cantidad]]</f>
        <v>174.3</v>
      </c>
      <c r="J170" s="1">
        <f>TablaVentas[[#This Row],[Costo Unitario]]*TablaVentas[[#This Row],[Cantidad]]</f>
        <v>111.27000000000001</v>
      </c>
      <c r="K170" s="1">
        <f>TablaVentas[[#This Row],[Total Venta]]-TablaVentas[[#This Row],[Total Costo]]</f>
        <v>63.03</v>
      </c>
    </row>
    <row r="171" spans="1:11" x14ac:dyDescent="0.25">
      <c r="A171" s="2">
        <v>45046</v>
      </c>
      <c r="B171" s="1" t="s">
        <v>16</v>
      </c>
      <c r="C171" s="1" t="s">
        <v>13</v>
      </c>
      <c r="D171" s="1" t="s">
        <v>33</v>
      </c>
      <c r="E171" s="1" t="s">
        <v>15</v>
      </c>
      <c r="F171" s="1">
        <v>10</v>
      </c>
      <c r="G171" s="1">
        <v>61.05</v>
      </c>
      <c r="H171" s="1">
        <v>35.75</v>
      </c>
      <c r="I171" s="1">
        <f>TablaVentas[[#This Row],[Precio Unitario]]*TablaVentas[[#This Row],[Cantidad]]</f>
        <v>610.5</v>
      </c>
      <c r="J171" s="1">
        <f>TablaVentas[[#This Row],[Costo Unitario]]*TablaVentas[[#This Row],[Cantidad]]</f>
        <v>357.5</v>
      </c>
      <c r="K171" s="1">
        <f>TablaVentas[[#This Row],[Total Venta]]-TablaVentas[[#This Row],[Total Costo]]</f>
        <v>253</v>
      </c>
    </row>
    <row r="172" spans="1:11" x14ac:dyDescent="0.25">
      <c r="A172" s="2">
        <v>45051</v>
      </c>
      <c r="B172" s="1" t="s">
        <v>16</v>
      </c>
      <c r="C172" s="1" t="s">
        <v>13</v>
      </c>
      <c r="D172" s="1" t="s">
        <v>31</v>
      </c>
      <c r="E172" s="1" t="s">
        <v>20</v>
      </c>
      <c r="F172" s="1">
        <v>3</v>
      </c>
      <c r="G172" s="1">
        <v>61.15</v>
      </c>
      <c r="H172" s="1">
        <v>36.75</v>
      </c>
      <c r="I172" s="1">
        <f>TablaVentas[[#This Row],[Precio Unitario]]*TablaVentas[[#This Row],[Cantidad]]</f>
        <v>183.45</v>
      </c>
      <c r="J172" s="1">
        <f>TablaVentas[[#This Row],[Costo Unitario]]*TablaVentas[[#This Row],[Cantidad]]</f>
        <v>110.25</v>
      </c>
      <c r="K172" s="1">
        <f>TablaVentas[[#This Row],[Total Venta]]-TablaVentas[[#This Row],[Total Costo]]</f>
        <v>73.199999999999989</v>
      </c>
    </row>
    <row r="173" spans="1:11" x14ac:dyDescent="0.25">
      <c r="A173" s="2">
        <v>45051</v>
      </c>
      <c r="B173" s="1" t="s">
        <v>26</v>
      </c>
      <c r="C173" s="1" t="s">
        <v>19</v>
      </c>
      <c r="D173" s="1" t="s">
        <v>24</v>
      </c>
      <c r="E173" s="1" t="s">
        <v>20</v>
      </c>
      <c r="F173" s="1">
        <v>1</v>
      </c>
      <c r="G173" s="1">
        <v>46.72</v>
      </c>
      <c r="H173" s="1">
        <v>22.5</v>
      </c>
      <c r="I173" s="1">
        <f>TablaVentas[[#This Row],[Precio Unitario]]*TablaVentas[[#This Row],[Cantidad]]</f>
        <v>46.72</v>
      </c>
      <c r="J173" s="1">
        <f>TablaVentas[[#This Row],[Costo Unitario]]*TablaVentas[[#This Row],[Cantidad]]</f>
        <v>22.5</v>
      </c>
      <c r="K173" s="1">
        <f>TablaVentas[[#This Row],[Total Venta]]-TablaVentas[[#This Row],[Total Costo]]</f>
        <v>24.22</v>
      </c>
    </row>
    <row r="174" spans="1:11" x14ac:dyDescent="0.25">
      <c r="A174" s="2">
        <v>45051</v>
      </c>
      <c r="B174" s="1" t="s">
        <v>16</v>
      </c>
      <c r="C174" s="1" t="s">
        <v>13</v>
      </c>
      <c r="D174" s="1" t="s">
        <v>14</v>
      </c>
      <c r="E174" s="1" t="s">
        <v>20</v>
      </c>
      <c r="F174" s="1">
        <v>8</v>
      </c>
      <c r="G174" s="1">
        <v>63.04</v>
      </c>
      <c r="H174" s="1">
        <v>32.25</v>
      </c>
      <c r="I174" s="1">
        <f>TablaVentas[[#This Row],[Precio Unitario]]*TablaVentas[[#This Row],[Cantidad]]</f>
        <v>504.32</v>
      </c>
      <c r="J174" s="1">
        <f>TablaVentas[[#This Row],[Costo Unitario]]*TablaVentas[[#This Row],[Cantidad]]</f>
        <v>258</v>
      </c>
      <c r="K174" s="1">
        <f>TablaVentas[[#This Row],[Total Venta]]-TablaVentas[[#This Row],[Total Costo]]</f>
        <v>246.32</v>
      </c>
    </row>
    <row r="175" spans="1:11" x14ac:dyDescent="0.25">
      <c r="A175" s="2">
        <v>45052</v>
      </c>
      <c r="B175" s="1" t="s">
        <v>32</v>
      </c>
      <c r="C175" s="1" t="s">
        <v>30</v>
      </c>
      <c r="D175" s="1" t="s">
        <v>14</v>
      </c>
      <c r="E175" s="1" t="s">
        <v>11</v>
      </c>
      <c r="F175" s="1">
        <v>7</v>
      </c>
      <c r="G175" s="1">
        <v>362.46</v>
      </c>
      <c r="H175" s="1">
        <v>191.42</v>
      </c>
      <c r="I175" s="1">
        <f>TablaVentas[[#This Row],[Precio Unitario]]*TablaVentas[[#This Row],[Cantidad]]</f>
        <v>2537.2199999999998</v>
      </c>
      <c r="J175" s="1">
        <f>TablaVentas[[#This Row],[Costo Unitario]]*TablaVentas[[#This Row],[Cantidad]]</f>
        <v>1339.9399999999998</v>
      </c>
      <c r="K175" s="1">
        <f>TablaVentas[[#This Row],[Total Venta]]-TablaVentas[[#This Row],[Total Costo]]</f>
        <v>1197.28</v>
      </c>
    </row>
    <row r="176" spans="1:11" x14ac:dyDescent="0.25">
      <c r="A176" s="2">
        <v>45052</v>
      </c>
      <c r="B176" s="1" t="s">
        <v>32</v>
      </c>
      <c r="C176" s="1" t="s">
        <v>30</v>
      </c>
      <c r="D176" s="1" t="s">
        <v>31</v>
      </c>
      <c r="E176" s="1" t="s">
        <v>15</v>
      </c>
      <c r="F176" s="1">
        <v>4</v>
      </c>
      <c r="G176" s="1">
        <v>334.96</v>
      </c>
      <c r="H176" s="1">
        <v>217.43</v>
      </c>
      <c r="I176" s="1">
        <f>TablaVentas[[#This Row],[Precio Unitario]]*TablaVentas[[#This Row],[Cantidad]]</f>
        <v>1339.84</v>
      </c>
      <c r="J176" s="1">
        <f>TablaVentas[[#This Row],[Costo Unitario]]*TablaVentas[[#This Row],[Cantidad]]</f>
        <v>869.72</v>
      </c>
      <c r="K176" s="1">
        <f>TablaVentas[[#This Row],[Total Venta]]-TablaVentas[[#This Row],[Total Costo]]</f>
        <v>470.11999999999989</v>
      </c>
    </row>
    <row r="177" spans="1:11" x14ac:dyDescent="0.25">
      <c r="A177" s="2">
        <v>45053</v>
      </c>
      <c r="B177" s="1" t="s">
        <v>21</v>
      </c>
      <c r="C177" s="1" t="s">
        <v>19</v>
      </c>
      <c r="D177" s="1" t="s">
        <v>31</v>
      </c>
      <c r="E177" s="1" t="s">
        <v>22</v>
      </c>
      <c r="F177" s="1">
        <v>3</v>
      </c>
      <c r="G177" s="1">
        <v>92.15</v>
      </c>
      <c r="H177" s="1">
        <v>49.99</v>
      </c>
      <c r="I177" s="1">
        <f>TablaVentas[[#This Row],[Precio Unitario]]*TablaVentas[[#This Row],[Cantidad]]</f>
        <v>276.45000000000005</v>
      </c>
      <c r="J177" s="1">
        <f>TablaVentas[[#This Row],[Costo Unitario]]*TablaVentas[[#This Row],[Cantidad]]</f>
        <v>149.97</v>
      </c>
      <c r="K177" s="1">
        <f>TablaVentas[[#This Row],[Total Venta]]-TablaVentas[[#This Row],[Total Costo]]</f>
        <v>126.48000000000005</v>
      </c>
    </row>
    <row r="178" spans="1:11" x14ac:dyDescent="0.25">
      <c r="A178" s="2">
        <v>45053</v>
      </c>
      <c r="B178" s="1" t="s">
        <v>8</v>
      </c>
      <c r="C178" s="1" t="s">
        <v>9</v>
      </c>
      <c r="D178" s="1" t="s">
        <v>33</v>
      </c>
      <c r="E178" s="1" t="s">
        <v>20</v>
      </c>
      <c r="F178" s="1">
        <v>4</v>
      </c>
      <c r="G178" s="1">
        <v>630.91999999999996</v>
      </c>
      <c r="H178" s="1">
        <v>438.46</v>
      </c>
      <c r="I178" s="1">
        <f>TablaVentas[[#This Row],[Precio Unitario]]*TablaVentas[[#This Row],[Cantidad]]</f>
        <v>2523.6799999999998</v>
      </c>
      <c r="J178" s="1">
        <f>TablaVentas[[#This Row],[Costo Unitario]]*TablaVentas[[#This Row],[Cantidad]]</f>
        <v>1753.84</v>
      </c>
      <c r="K178" s="1">
        <f>TablaVentas[[#This Row],[Total Venta]]-TablaVentas[[#This Row],[Total Costo]]</f>
        <v>769.83999999999992</v>
      </c>
    </row>
    <row r="179" spans="1:11" x14ac:dyDescent="0.25">
      <c r="A179" s="2">
        <v>45053</v>
      </c>
      <c r="B179" s="1" t="s">
        <v>23</v>
      </c>
      <c r="C179" s="1" t="s">
        <v>9</v>
      </c>
      <c r="D179" s="1" t="s">
        <v>10</v>
      </c>
      <c r="E179" s="1" t="s">
        <v>28</v>
      </c>
      <c r="F179" s="1">
        <v>7</v>
      </c>
      <c r="G179" s="1">
        <v>65.349999999999994</v>
      </c>
      <c r="H179" s="1">
        <v>49.36</v>
      </c>
      <c r="I179" s="1">
        <f>TablaVentas[[#This Row],[Precio Unitario]]*TablaVentas[[#This Row],[Cantidad]]</f>
        <v>457.44999999999993</v>
      </c>
      <c r="J179" s="1">
        <f>TablaVentas[[#This Row],[Costo Unitario]]*TablaVentas[[#This Row],[Cantidad]]</f>
        <v>345.52</v>
      </c>
      <c r="K179" s="1">
        <f>TablaVentas[[#This Row],[Total Venta]]-TablaVentas[[#This Row],[Total Costo]]</f>
        <v>111.92999999999995</v>
      </c>
    </row>
    <row r="180" spans="1:11" x14ac:dyDescent="0.25">
      <c r="A180" s="2">
        <v>45054</v>
      </c>
      <c r="B180" s="1" t="s">
        <v>8</v>
      </c>
      <c r="C180" s="1" t="s">
        <v>9</v>
      </c>
      <c r="D180" s="1" t="s">
        <v>14</v>
      </c>
      <c r="E180" s="1" t="s">
        <v>28</v>
      </c>
      <c r="F180" s="1">
        <v>9</v>
      </c>
      <c r="G180" s="1">
        <v>582.26</v>
      </c>
      <c r="H180" s="1">
        <v>461.63</v>
      </c>
      <c r="I180" s="1">
        <f>TablaVentas[[#This Row],[Precio Unitario]]*TablaVentas[[#This Row],[Cantidad]]</f>
        <v>5240.34</v>
      </c>
      <c r="J180" s="1">
        <f>TablaVentas[[#This Row],[Costo Unitario]]*TablaVentas[[#This Row],[Cantidad]]</f>
        <v>4154.67</v>
      </c>
      <c r="K180" s="1">
        <f>TablaVentas[[#This Row],[Total Venta]]-TablaVentas[[#This Row],[Total Costo]]</f>
        <v>1085.67</v>
      </c>
    </row>
    <row r="181" spans="1:11" x14ac:dyDescent="0.25">
      <c r="A181" s="2">
        <v>45055</v>
      </c>
      <c r="B181" s="1" t="s">
        <v>34</v>
      </c>
      <c r="C181" s="1" t="s">
        <v>13</v>
      </c>
      <c r="D181" s="1" t="s">
        <v>25</v>
      </c>
      <c r="E181" s="1" t="s">
        <v>15</v>
      </c>
      <c r="F181" s="1">
        <v>2</v>
      </c>
      <c r="G181" s="1">
        <v>273.55</v>
      </c>
      <c r="H181" s="1">
        <v>207.8</v>
      </c>
      <c r="I181" s="1">
        <f>TablaVentas[[#This Row],[Precio Unitario]]*TablaVentas[[#This Row],[Cantidad]]</f>
        <v>547.1</v>
      </c>
      <c r="J181" s="1">
        <f>TablaVentas[[#This Row],[Costo Unitario]]*TablaVentas[[#This Row],[Cantidad]]</f>
        <v>415.6</v>
      </c>
      <c r="K181" s="1">
        <f>TablaVentas[[#This Row],[Total Venta]]-TablaVentas[[#This Row],[Total Costo]]</f>
        <v>131.5</v>
      </c>
    </row>
    <row r="182" spans="1:11" x14ac:dyDescent="0.25">
      <c r="A182" s="2">
        <v>45057</v>
      </c>
      <c r="B182" s="1" t="s">
        <v>29</v>
      </c>
      <c r="C182" s="1" t="s">
        <v>30</v>
      </c>
      <c r="D182" s="1" t="s">
        <v>10</v>
      </c>
      <c r="E182" s="1" t="s">
        <v>22</v>
      </c>
      <c r="F182" s="1">
        <v>6</v>
      </c>
      <c r="G182" s="1">
        <v>440.22</v>
      </c>
      <c r="H182" s="1">
        <v>310.56</v>
      </c>
      <c r="I182" s="1">
        <f>TablaVentas[[#This Row],[Precio Unitario]]*TablaVentas[[#This Row],[Cantidad]]</f>
        <v>2641.32</v>
      </c>
      <c r="J182" s="1">
        <f>TablaVentas[[#This Row],[Costo Unitario]]*TablaVentas[[#This Row],[Cantidad]]</f>
        <v>1863.3600000000001</v>
      </c>
      <c r="K182" s="1">
        <f>TablaVentas[[#This Row],[Total Venta]]-TablaVentas[[#This Row],[Total Costo]]</f>
        <v>777.96</v>
      </c>
    </row>
    <row r="183" spans="1:11" x14ac:dyDescent="0.25">
      <c r="A183" s="2">
        <v>45057</v>
      </c>
      <c r="B183" s="1" t="s">
        <v>29</v>
      </c>
      <c r="C183" s="1" t="s">
        <v>30</v>
      </c>
      <c r="D183" s="1" t="s">
        <v>33</v>
      </c>
      <c r="E183" s="1" t="s">
        <v>28</v>
      </c>
      <c r="F183" s="1">
        <v>4</v>
      </c>
      <c r="G183" s="1">
        <v>383.39</v>
      </c>
      <c r="H183" s="1">
        <v>305.58999999999997</v>
      </c>
      <c r="I183" s="1">
        <f>TablaVentas[[#This Row],[Precio Unitario]]*TablaVentas[[#This Row],[Cantidad]]</f>
        <v>1533.56</v>
      </c>
      <c r="J183" s="1">
        <f>TablaVentas[[#This Row],[Costo Unitario]]*TablaVentas[[#This Row],[Cantidad]]</f>
        <v>1222.3599999999999</v>
      </c>
      <c r="K183" s="1">
        <f>TablaVentas[[#This Row],[Total Venta]]-TablaVentas[[#This Row],[Total Costo]]</f>
        <v>311.20000000000005</v>
      </c>
    </row>
    <row r="184" spans="1:11" x14ac:dyDescent="0.25">
      <c r="A184" s="2">
        <v>45057</v>
      </c>
      <c r="B184" s="1" t="s">
        <v>8</v>
      </c>
      <c r="C184" s="1" t="s">
        <v>9</v>
      </c>
      <c r="D184" s="1" t="s">
        <v>31</v>
      </c>
      <c r="E184" s="1" t="s">
        <v>22</v>
      </c>
      <c r="F184" s="1">
        <v>1</v>
      </c>
      <c r="G184" s="1">
        <v>673.82</v>
      </c>
      <c r="H184" s="1">
        <v>491.71</v>
      </c>
      <c r="I184" s="1">
        <f>TablaVentas[[#This Row],[Precio Unitario]]*TablaVentas[[#This Row],[Cantidad]]</f>
        <v>673.82</v>
      </c>
      <c r="J184" s="1">
        <f>TablaVentas[[#This Row],[Costo Unitario]]*TablaVentas[[#This Row],[Cantidad]]</f>
        <v>491.71</v>
      </c>
      <c r="K184" s="1">
        <f>TablaVentas[[#This Row],[Total Venta]]-TablaVentas[[#This Row],[Total Costo]]</f>
        <v>182.11000000000007</v>
      </c>
    </row>
    <row r="185" spans="1:11" x14ac:dyDescent="0.25">
      <c r="A185" s="2">
        <v>45059</v>
      </c>
      <c r="B185" s="1" t="s">
        <v>29</v>
      </c>
      <c r="C185" s="1" t="s">
        <v>30</v>
      </c>
      <c r="D185" s="1" t="s">
        <v>10</v>
      </c>
      <c r="E185" s="1" t="s">
        <v>20</v>
      </c>
      <c r="F185" s="1">
        <v>7</v>
      </c>
      <c r="G185" s="1">
        <v>429.38</v>
      </c>
      <c r="H185" s="1">
        <v>333.91</v>
      </c>
      <c r="I185" s="1">
        <f>TablaVentas[[#This Row],[Precio Unitario]]*TablaVentas[[#This Row],[Cantidad]]</f>
        <v>3005.66</v>
      </c>
      <c r="J185" s="1">
        <f>TablaVentas[[#This Row],[Costo Unitario]]*TablaVentas[[#This Row],[Cantidad]]</f>
        <v>2337.3700000000003</v>
      </c>
      <c r="K185" s="1">
        <f>TablaVentas[[#This Row],[Total Venta]]-TablaVentas[[#This Row],[Total Costo]]</f>
        <v>668.28999999999951</v>
      </c>
    </row>
    <row r="186" spans="1:11" x14ac:dyDescent="0.25">
      <c r="A186" s="2">
        <v>45060</v>
      </c>
      <c r="B186" s="1" t="s">
        <v>23</v>
      </c>
      <c r="C186" s="1" t="s">
        <v>9</v>
      </c>
      <c r="D186" s="1" t="s">
        <v>31</v>
      </c>
      <c r="E186" s="1" t="s">
        <v>22</v>
      </c>
      <c r="F186" s="1">
        <v>1</v>
      </c>
      <c r="G186" s="1">
        <v>74.69</v>
      </c>
      <c r="H186" s="1">
        <v>44.75</v>
      </c>
      <c r="I186" s="1">
        <f>TablaVentas[[#This Row],[Precio Unitario]]*TablaVentas[[#This Row],[Cantidad]]</f>
        <v>74.69</v>
      </c>
      <c r="J186" s="1">
        <f>TablaVentas[[#This Row],[Costo Unitario]]*TablaVentas[[#This Row],[Cantidad]]</f>
        <v>44.75</v>
      </c>
      <c r="K186" s="1">
        <f>TablaVentas[[#This Row],[Total Venta]]-TablaVentas[[#This Row],[Total Costo]]</f>
        <v>29.939999999999998</v>
      </c>
    </row>
    <row r="187" spans="1:11" x14ac:dyDescent="0.25">
      <c r="A187" s="2">
        <v>45060</v>
      </c>
      <c r="B187" s="1" t="s">
        <v>23</v>
      </c>
      <c r="C187" s="1" t="s">
        <v>9</v>
      </c>
      <c r="D187" s="1" t="s">
        <v>24</v>
      </c>
      <c r="E187" s="1" t="s">
        <v>20</v>
      </c>
      <c r="F187" s="1">
        <v>4</v>
      </c>
      <c r="G187" s="1">
        <v>85.17</v>
      </c>
      <c r="H187" s="1">
        <v>41.79</v>
      </c>
      <c r="I187" s="1">
        <f>TablaVentas[[#This Row],[Precio Unitario]]*TablaVentas[[#This Row],[Cantidad]]</f>
        <v>340.68</v>
      </c>
      <c r="J187" s="1">
        <f>TablaVentas[[#This Row],[Costo Unitario]]*TablaVentas[[#This Row],[Cantidad]]</f>
        <v>167.16</v>
      </c>
      <c r="K187" s="1">
        <f>TablaVentas[[#This Row],[Total Venta]]-TablaVentas[[#This Row],[Total Costo]]</f>
        <v>173.52</v>
      </c>
    </row>
    <row r="188" spans="1:11" x14ac:dyDescent="0.25">
      <c r="A188" s="2">
        <v>45060</v>
      </c>
      <c r="B188" s="1" t="s">
        <v>29</v>
      </c>
      <c r="C188" s="1" t="s">
        <v>30</v>
      </c>
      <c r="D188" s="1" t="s">
        <v>24</v>
      </c>
      <c r="E188" s="1" t="s">
        <v>22</v>
      </c>
      <c r="F188" s="1">
        <v>8</v>
      </c>
      <c r="G188" s="1">
        <v>500.05</v>
      </c>
      <c r="H188" s="1">
        <v>335.12</v>
      </c>
      <c r="I188" s="1">
        <f>TablaVentas[[#This Row],[Precio Unitario]]*TablaVentas[[#This Row],[Cantidad]]</f>
        <v>4000.4</v>
      </c>
      <c r="J188" s="1">
        <f>TablaVentas[[#This Row],[Costo Unitario]]*TablaVentas[[#This Row],[Cantidad]]</f>
        <v>2680.96</v>
      </c>
      <c r="K188" s="1">
        <f>TablaVentas[[#This Row],[Total Venta]]-TablaVentas[[#This Row],[Total Costo]]</f>
        <v>1319.44</v>
      </c>
    </row>
    <row r="189" spans="1:11" x14ac:dyDescent="0.25">
      <c r="A189" s="2">
        <v>45061</v>
      </c>
      <c r="B189" s="1" t="s">
        <v>21</v>
      </c>
      <c r="C189" s="1" t="s">
        <v>19</v>
      </c>
      <c r="D189" s="1" t="s">
        <v>33</v>
      </c>
      <c r="E189" s="1" t="s">
        <v>15</v>
      </c>
      <c r="F189" s="1">
        <v>8</v>
      </c>
      <c r="G189" s="1">
        <v>86.67</v>
      </c>
      <c r="H189" s="1">
        <v>54.03</v>
      </c>
      <c r="I189" s="1">
        <f>TablaVentas[[#This Row],[Precio Unitario]]*TablaVentas[[#This Row],[Cantidad]]</f>
        <v>693.36</v>
      </c>
      <c r="J189" s="1">
        <f>TablaVentas[[#This Row],[Costo Unitario]]*TablaVentas[[#This Row],[Cantidad]]</f>
        <v>432.24</v>
      </c>
      <c r="K189" s="1">
        <f>TablaVentas[[#This Row],[Total Venta]]-TablaVentas[[#This Row],[Total Costo]]</f>
        <v>261.12</v>
      </c>
    </row>
    <row r="190" spans="1:11" x14ac:dyDescent="0.25">
      <c r="A190" s="2">
        <v>45061</v>
      </c>
      <c r="B190" s="1" t="s">
        <v>8</v>
      </c>
      <c r="C190" s="1" t="s">
        <v>9</v>
      </c>
      <c r="D190" s="1" t="s">
        <v>25</v>
      </c>
      <c r="E190" s="1" t="s">
        <v>11</v>
      </c>
      <c r="F190" s="1">
        <v>1</v>
      </c>
      <c r="G190" s="1">
        <v>680.21</v>
      </c>
      <c r="H190" s="1">
        <v>501</v>
      </c>
      <c r="I190" s="1">
        <f>TablaVentas[[#This Row],[Precio Unitario]]*TablaVentas[[#This Row],[Cantidad]]</f>
        <v>680.21</v>
      </c>
      <c r="J190" s="1">
        <f>TablaVentas[[#This Row],[Costo Unitario]]*TablaVentas[[#This Row],[Cantidad]]</f>
        <v>501</v>
      </c>
      <c r="K190" s="1">
        <f>TablaVentas[[#This Row],[Total Venta]]-TablaVentas[[#This Row],[Total Costo]]</f>
        <v>179.21000000000004</v>
      </c>
    </row>
    <row r="191" spans="1:11" x14ac:dyDescent="0.25">
      <c r="A191" s="2">
        <v>45061</v>
      </c>
      <c r="B191" s="1" t="s">
        <v>23</v>
      </c>
      <c r="C191" s="1" t="s">
        <v>9</v>
      </c>
      <c r="D191" s="1" t="s">
        <v>24</v>
      </c>
      <c r="E191" s="1" t="s">
        <v>20</v>
      </c>
      <c r="F191" s="1">
        <v>9</v>
      </c>
      <c r="G191" s="1">
        <v>70.56</v>
      </c>
      <c r="H191" s="1">
        <v>49.28</v>
      </c>
      <c r="I191" s="1">
        <f>TablaVentas[[#This Row],[Precio Unitario]]*TablaVentas[[#This Row],[Cantidad]]</f>
        <v>635.04</v>
      </c>
      <c r="J191" s="1">
        <f>TablaVentas[[#This Row],[Costo Unitario]]*TablaVentas[[#This Row],[Cantidad]]</f>
        <v>443.52</v>
      </c>
      <c r="K191" s="1">
        <f>TablaVentas[[#This Row],[Total Venta]]-TablaVentas[[#This Row],[Total Costo]]</f>
        <v>191.51999999999998</v>
      </c>
    </row>
    <row r="192" spans="1:11" x14ac:dyDescent="0.25">
      <c r="A192" s="2">
        <v>45062</v>
      </c>
      <c r="B192" s="1" t="s">
        <v>18</v>
      </c>
      <c r="C192" s="1" t="s">
        <v>19</v>
      </c>
      <c r="D192" s="1" t="s">
        <v>25</v>
      </c>
      <c r="E192" s="1" t="s">
        <v>22</v>
      </c>
      <c r="F192" s="1">
        <v>6</v>
      </c>
      <c r="G192" s="1">
        <v>1197.98</v>
      </c>
      <c r="H192" s="1">
        <v>930.4</v>
      </c>
      <c r="I192" s="1">
        <f>TablaVentas[[#This Row],[Precio Unitario]]*TablaVentas[[#This Row],[Cantidad]]</f>
        <v>7187.88</v>
      </c>
      <c r="J192" s="1">
        <f>TablaVentas[[#This Row],[Costo Unitario]]*TablaVentas[[#This Row],[Cantidad]]</f>
        <v>5582.4</v>
      </c>
      <c r="K192" s="1">
        <f>TablaVentas[[#This Row],[Total Venta]]-TablaVentas[[#This Row],[Total Costo]]</f>
        <v>1605.4800000000005</v>
      </c>
    </row>
    <row r="193" spans="1:11" x14ac:dyDescent="0.25">
      <c r="A193" s="2">
        <v>45062</v>
      </c>
      <c r="B193" s="1" t="s">
        <v>34</v>
      </c>
      <c r="C193" s="1" t="s">
        <v>13</v>
      </c>
      <c r="D193" s="1" t="s">
        <v>17</v>
      </c>
      <c r="E193" s="1" t="s">
        <v>11</v>
      </c>
      <c r="F193" s="1">
        <v>3</v>
      </c>
      <c r="G193" s="1">
        <v>302.25</v>
      </c>
      <c r="H193" s="1">
        <v>181.59</v>
      </c>
      <c r="I193" s="1">
        <f>TablaVentas[[#This Row],[Precio Unitario]]*TablaVentas[[#This Row],[Cantidad]]</f>
        <v>906.75</v>
      </c>
      <c r="J193" s="1">
        <f>TablaVentas[[#This Row],[Costo Unitario]]*TablaVentas[[#This Row],[Cantidad]]</f>
        <v>544.77</v>
      </c>
      <c r="K193" s="1">
        <f>TablaVentas[[#This Row],[Total Venta]]-TablaVentas[[#This Row],[Total Costo]]</f>
        <v>361.98</v>
      </c>
    </row>
    <row r="194" spans="1:11" x14ac:dyDescent="0.25">
      <c r="A194" s="2">
        <v>45062</v>
      </c>
      <c r="B194" s="1" t="s">
        <v>21</v>
      </c>
      <c r="C194" s="1" t="s">
        <v>19</v>
      </c>
      <c r="D194" s="1" t="s">
        <v>33</v>
      </c>
      <c r="E194" s="1" t="s">
        <v>15</v>
      </c>
      <c r="F194" s="1">
        <v>3</v>
      </c>
      <c r="G194" s="1">
        <v>90.33</v>
      </c>
      <c r="H194" s="1">
        <v>46.98</v>
      </c>
      <c r="I194" s="1">
        <f>TablaVentas[[#This Row],[Precio Unitario]]*TablaVentas[[#This Row],[Cantidad]]</f>
        <v>270.99</v>
      </c>
      <c r="J194" s="1">
        <f>TablaVentas[[#This Row],[Costo Unitario]]*TablaVentas[[#This Row],[Cantidad]]</f>
        <v>140.94</v>
      </c>
      <c r="K194" s="1">
        <f>TablaVentas[[#This Row],[Total Venta]]-TablaVentas[[#This Row],[Total Costo]]</f>
        <v>130.05000000000001</v>
      </c>
    </row>
    <row r="195" spans="1:11" x14ac:dyDescent="0.25">
      <c r="A195" s="2">
        <v>45063</v>
      </c>
      <c r="B195" s="1" t="s">
        <v>29</v>
      </c>
      <c r="C195" s="1" t="s">
        <v>30</v>
      </c>
      <c r="D195" s="1" t="s">
        <v>24</v>
      </c>
      <c r="E195" s="1" t="s">
        <v>28</v>
      </c>
      <c r="F195" s="1">
        <v>4</v>
      </c>
      <c r="G195" s="1">
        <v>447.92</v>
      </c>
      <c r="H195" s="1">
        <v>312.91000000000003</v>
      </c>
      <c r="I195" s="1">
        <f>TablaVentas[[#This Row],[Precio Unitario]]*TablaVentas[[#This Row],[Cantidad]]</f>
        <v>1791.68</v>
      </c>
      <c r="J195" s="1">
        <f>TablaVentas[[#This Row],[Costo Unitario]]*TablaVentas[[#This Row],[Cantidad]]</f>
        <v>1251.6400000000001</v>
      </c>
      <c r="K195" s="1">
        <f>TablaVentas[[#This Row],[Total Venta]]-TablaVentas[[#This Row],[Total Costo]]</f>
        <v>540.04</v>
      </c>
    </row>
    <row r="196" spans="1:11" x14ac:dyDescent="0.25">
      <c r="A196" s="2">
        <v>45065</v>
      </c>
      <c r="B196" s="1" t="s">
        <v>29</v>
      </c>
      <c r="C196" s="1" t="s">
        <v>30</v>
      </c>
      <c r="D196" s="1" t="s">
        <v>31</v>
      </c>
      <c r="E196" s="1" t="s">
        <v>22</v>
      </c>
      <c r="F196" s="1">
        <v>10</v>
      </c>
      <c r="G196" s="1">
        <v>386.96</v>
      </c>
      <c r="H196" s="1">
        <v>289.98</v>
      </c>
      <c r="I196" s="1">
        <f>TablaVentas[[#This Row],[Precio Unitario]]*TablaVentas[[#This Row],[Cantidad]]</f>
        <v>3869.6</v>
      </c>
      <c r="J196" s="1">
        <f>TablaVentas[[#This Row],[Costo Unitario]]*TablaVentas[[#This Row],[Cantidad]]</f>
        <v>2899.8</v>
      </c>
      <c r="K196" s="1">
        <f>TablaVentas[[#This Row],[Total Venta]]-TablaVentas[[#This Row],[Total Costo]]</f>
        <v>969.79999999999973</v>
      </c>
    </row>
    <row r="197" spans="1:11" x14ac:dyDescent="0.25">
      <c r="A197" s="2">
        <v>45065</v>
      </c>
      <c r="B197" s="1" t="s">
        <v>12</v>
      </c>
      <c r="C197" s="1" t="s">
        <v>13</v>
      </c>
      <c r="D197" s="1" t="s">
        <v>24</v>
      </c>
      <c r="E197" s="1" t="s">
        <v>20</v>
      </c>
      <c r="F197" s="1">
        <v>4</v>
      </c>
      <c r="G197" s="1">
        <v>61.78</v>
      </c>
      <c r="H197" s="1">
        <v>44.52</v>
      </c>
      <c r="I197" s="1">
        <f>TablaVentas[[#This Row],[Precio Unitario]]*TablaVentas[[#This Row],[Cantidad]]</f>
        <v>247.12</v>
      </c>
      <c r="J197" s="1">
        <f>TablaVentas[[#This Row],[Costo Unitario]]*TablaVentas[[#This Row],[Cantidad]]</f>
        <v>178.08</v>
      </c>
      <c r="K197" s="1">
        <f>TablaVentas[[#This Row],[Total Venta]]-TablaVentas[[#This Row],[Total Costo]]</f>
        <v>69.039999999999992</v>
      </c>
    </row>
    <row r="198" spans="1:11" x14ac:dyDescent="0.25">
      <c r="A198" s="2">
        <v>45066</v>
      </c>
      <c r="B198" s="1" t="s">
        <v>21</v>
      </c>
      <c r="C198" s="1" t="s">
        <v>19</v>
      </c>
      <c r="D198" s="1" t="s">
        <v>33</v>
      </c>
      <c r="E198" s="1" t="s">
        <v>15</v>
      </c>
      <c r="F198" s="1">
        <v>3</v>
      </c>
      <c r="G198" s="1">
        <v>76.150000000000006</v>
      </c>
      <c r="H198" s="1">
        <v>53.69</v>
      </c>
      <c r="I198" s="1">
        <f>TablaVentas[[#This Row],[Precio Unitario]]*TablaVentas[[#This Row],[Cantidad]]</f>
        <v>228.45000000000002</v>
      </c>
      <c r="J198" s="1">
        <f>TablaVentas[[#This Row],[Costo Unitario]]*TablaVentas[[#This Row],[Cantidad]]</f>
        <v>161.07</v>
      </c>
      <c r="K198" s="1">
        <f>TablaVentas[[#This Row],[Total Venta]]-TablaVentas[[#This Row],[Total Costo]]</f>
        <v>67.380000000000024</v>
      </c>
    </row>
    <row r="199" spans="1:11" x14ac:dyDescent="0.25">
      <c r="A199" s="2">
        <v>45067</v>
      </c>
      <c r="B199" s="1" t="s">
        <v>8</v>
      </c>
      <c r="C199" s="1" t="s">
        <v>9</v>
      </c>
      <c r="D199" s="1" t="s">
        <v>24</v>
      </c>
      <c r="E199" s="1" t="s">
        <v>20</v>
      </c>
      <c r="F199" s="1">
        <v>8</v>
      </c>
      <c r="G199" s="1">
        <v>776.44</v>
      </c>
      <c r="H199" s="1">
        <v>526.64</v>
      </c>
      <c r="I199" s="1">
        <f>TablaVentas[[#This Row],[Precio Unitario]]*TablaVentas[[#This Row],[Cantidad]]</f>
        <v>6211.52</v>
      </c>
      <c r="J199" s="1">
        <f>TablaVentas[[#This Row],[Costo Unitario]]*TablaVentas[[#This Row],[Cantidad]]</f>
        <v>4213.12</v>
      </c>
      <c r="K199" s="1">
        <f>TablaVentas[[#This Row],[Total Venta]]-TablaVentas[[#This Row],[Total Costo]]</f>
        <v>1998.4000000000005</v>
      </c>
    </row>
    <row r="200" spans="1:11" x14ac:dyDescent="0.25">
      <c r="A200" s="2">
        <v>45067</v>
      </c>
      <c r="B200" s="1" t="s">
        <v>26</v>
      </c>
      <c r="C200" s="1" t="s">
        <v>19</v>
      </c>
      <c r="D200" s="1" t="s">
        <v>25</v>
      </c>
      <c r="E200" s="1" t="s">
        <v>20</v>
      </c>
      <c r="F200" s="1">
        <v>8</v>
      </c>
      <c r="G200" s="1">
        <v>48.18</v>
      </c>
      <c r="H200" s="1">
        <v>26.24</v>
      </c>
      <c r="I200" s="1">
        <f>TablaVentas[[#This Row],[Precio Unitario]]*TablaVentas[[#This Row],[Cantidad]]</f>
        <v>385.44</v>
      </c>
      <c r="J200" s="1">
        <f>TablaVentas[[#This Row],[Costo Unitario]]*TablaVentas[[#This Row],[Cantidad]]</f>
        <v>209.92</v>
      </c>
      <c r="K200" s="1">
        <f>TablaVentas[[#This Row],[Total Venta]]-TablaVentas[[#This Row],[Total Costo]]</f>
        <v>175.52</v>
      </c>
    </row>
    <row r="201" spans="1:11" x14ac:dyDescent="0.25">
      <c r="A201" s="2">
        <v>45067</v>
      </c>
      <c r="B201" s="1" t="s">
        <v>21</v>
      </c>
      <c r="C201" s="1" t="s">
        <v>19</v>
      </c>
      <c r="D201" s="1" t="s">
        <v>33</v>
      </c>
      <c r="E201" s="1" t="s">
        <v>15</v>
      </c>
      <c r="F201" s="1">
        <v>5</v>
      </c>
      <c r="G201" s="1">
        <v>79</v>
      </c>
      <c r="H201" s="1">
        <v>50.5</v>
      </c>
      <c r="I201" s="1">
        <f>TablaVentas[[#This Row],[Precio Unitario]]*TablaVentas[[#This Row],[Cantidad]]</f>
        <v>395</v>
      </c>
      <c r="J201" s="1">
        <f>TablaVentas[[#This Row],[Costo Unitario]]*TablaVentas[[#This Row],[Cantidad]]</f>
        <v>252.5</v>
      </c>
      <c r="K201" s="1">
        <f>TablaVentas[[#This Row],[Total Venta]]-TablaVentas[[#This Row],[Total Costo]]</f>
        <v>142.5</v>
      </c>
    </row>
    <row r="202" spans="1:11" x14ac:dyDescent="0.25">
      <c r="A202" s="2">
        <v>45067</v>
      </c>
      <c r="B202" s="1" t="s">
        <v>21</v>
      </c>
      <c r="C202" s="1" t="s">
        <v>19</v>
      </c>
      <c r="D202" s="1" t="s">
        <v>31</v>
      </c>
      <c r="E202" s="1" t="s">
        <v>15</v>
      </c>
      <c r="F202" s="1">
        <v>7</v>
      </c>
      <c r="G202" s="1">
        <v>100.87</v>
      </c>
      <c r="H202" s="1">
        <v>48.85</v>
      </c>
      <c r="I202" s="1">
        <f>TablaVentas[[#This Row],[Precio Unitario]]*TablaVentas[[#This Row],[Cantidad]]</f>
        <v>706.09</v>
      </c>
      <c r="J202" s="1">
        <f>TablaVentas[[#This Row],[Costo Unitario]]*TablaVentas[[#This Row],[Cantidad]]</f>
        <v>341.95</v>
      </c>
      <c r="K202" s="1">
        <f>TablaVentas[[#This Row],[Total Venta]]-TablaVentas[[#This Row],[Total Costo]]</f>
        <v>364.14000000000004</v>
      </c>
    </row>
    <row r="203" spans="1:11" x14ac:dyDescent="0.25">
      <c r="A203" s="2">
        <v>45068</v>
      </c>
      <c r="B203" s="1" t="s">
        <v>34</v>
      </c>
      <c r="C203" s="1" t="s">
        <v>13</v>
      </c>
      <c r="D203" s="1" t="s">
        <v>27</v>
      </c>
      <c r="E203" s="1" t="s">
        <v>28</v>
      </c>
      <c r="F203" s="1">
        <v>5</v>
      </c>
      <c r="G203" s="1">
        <v>298.14</v>
      </c>
      <c r="H203" s="1">
        <v>199.58</v>
      </c>
      <c r="I203" s="1">
        <f>TablaVentas[[#This Row],[Precio Unitario]]*TablaVentas[[#This Row],[Cantidad]]</f>
        <v>1490.6999999999998</v>
      </c>
      <c r="J203" s="1">
        <f>TablaVentas[[#This Row],[Costo Unitario]]*TablaVentas[[#This Row],[Cantidad]]</f>
        <v>997.90000000000009</v>
      </c>
      <c r="K203" s="1">
        <f>TablaVentas[[#This Row],[Total Venta]]-TablaVentas[[#This Row],[Total Costo]]</f>
        <v>492.79999999999973</v>
      </c>
    </row>
    <row r="204" spans="1:11" x14ac:dyDescent="0.25">
      <c r="A204" s="2">
        <v>45069</v>
      </c>
      <c r="B204" s="1" t="s">
        <v>29</v>
      </c>
      <c r="C204" s="1" t="s">
        <v>30</v>
      </c>
      <c r="D204" s="1" t="s">
        <v>24</v>
      </c>
      <c r="E204" s="1" t="s">
        <v>15</v>
      </c>
      <c r="F204" s="1">
        <v>2</v>
      </c>
      <c r="G204" s="1">
        <v>387.48</v>
      </c>
      <c r="H204" s="1">
        <v>317.5</v>
      </c>
      <c r="I204" s="1">
        <f>TablaVentas[[#This Row],[Precio Unitario]]*TablaVentas[[#This Row],[Cantidad]]</f>
        <v>774.96</v>
      </c>
      <c r="J204" s="1">
        <f>TablaVentas[[#This Row],[Costo Unitario]]*TablaVentas[[#This Row],[Cantidad]]</f>
        <v>635</v>
      </c>
      <c r="K204" s="1">
        <f>TablaVentas[[#This Row],[Total Venta]]-TablaVentas[[#This Row],[Total Costo]]</f>
        <v>139.96000000000004</v>
      </c>
    </row>
    <row r="205" spans="1:11" x14ac:dyDescent="0.25">
      <c r="A205" s="2">
        <v>45070</v>
      </c>
      <c r="B205" s="1" t="s">
        <v>12</v>
      </c>
      <c r="C205" s="1" t="s">
        <v>13</v>
      </c>
      <c r="D205" s="1" t="s">
        <v>24</v>
      </c>
      <c r="E205" s="1" t="s">
        <v>22</v>
      </c>
      <c r="F205" s="1">
        <v>7</v>
      </c>
      <c r="G205" s="1">
        <v>72.61</v>
      </c>
      <c r="H205" s="1">
        <v>45.04</v>
      </c>
      <c r="I205" s="1">
        <f>TablaVentas[[#This Row],[Precio Unitario]]*TablaVentas[[#This Row],[Cantidad]]</f>
        <v>508.27</v>
      </c>
      <c r="J205" s="1">
        <f>TablaVentas[[#This Row],[Costo Unitario]]*TablaVentas[[#This Row],[Cantidad]]</f>
        <v>315.27999999999997</v>
      </c>
      <c r="K205" s="1">
        <f>TablaVentas[[#This Row],[Total Venta]]-TablaVentas[[#This Row],[Total Costo]]</f>
        <v>192.99</v>
      </c>
    </row>
    <row r="206" spans="1:11" x14ac:dyDescent="0.25">
      <c r="A206" s="2">
        <v>45070</v>
      </c>
      <c r="B206" s="1" t="s">
        <v>8</v>
      </c>
      <c r="C206" s="1" t="s">
        <v>9</v>
      </c>
      <c r="D206" s="1" t="s">
        <v>24</v>
      </c>
      <c r="E206" s="1" t="s">
        <v>11</v>
      </c>
      <c r="F206" s="1">
        <v>2</v>
      </c>
      <c r="G206" s="1">
        <v>645.01</v>
      </c>
      <c r="H206" s="1">
        <v>468.67</v>
      </c>
      <c r="I206" s="1">
        <f>TablaVentas[[#This Row],[Precio Unitario]]*TablaVentas[[#This Row],[Cantidad]]</f>
        <v>1290.02</v>
      </c>
      <c r="J206" s="1">
        <f>TablaVentas[[#This Row],[Costo Unitario]]*TablaVentas[[#This Row],[Cantidad]]</f>
        <v>937.34</v>
      </c>
      <c r="K206" s="1">
        <f>TablaVentas[[#This Row],[Total Venta]]-TablaVentas[[#This Row],[Total Costo]]</f>
        <v>352.67999999999995</v>
      </c>
    </row>
    <row r="207" spans="1:11" x14ac:dyDescent="0.25">
      <c r="A207" s="2">
        <v>45071</v>
      </c>
      <c r="B207" s="1" t="s">
        <v>16</v>
      </c>
      <c r="C207" s="1" t="s">
        <v>13</v>
      </c>
      <c r="D207" s="1" t="s">
        <v>27</v>
      </c>
      <c r="E207" s="1" t="s">
        <v>28</v>
      </c>
      <c r="F207" s="1">
        <v>10</v>
      </c>
      <c r="G207" s="1">
        <v>51.23</v>
      </c>
      <c r="H207" s="1">
        <v>33.29</v>
      </c>
      <c r="I207" s="1">
        <f>TablaVentas[[#This Row],[Precio Unitario]]*TablaVentas[[#This Row],[Cantidad]]</f>
        <v>512.29999999999995</v>
      </c>
      <c r="J207" s="1">
        <f>TablaVentas[[#This Row],[Costo Unitario]]*TablaVentas[[#This Row],[Cantidad]]</f>
        <v>332.9</v>
      </c>
      <c r="K207" s="1">
        <f>TablaVentas[[#This Row],[Total Venta]]-TablaVentas[[#This Row],[Total Costo]]</f>
        <v>179.39999999999998</v>
      </c>
    </row>
    <row r="208" spans="1:11" x14ac:dyDescent="0.25">
      <c r="A208" s="2">
        <v>45072</v>
      </c>
      <c r="B208" s="1" t="s">
        <v>8</v>
      </c>
      <c r="C208" s="1" t="s">
        <v>9</v>
      </c>
      <c r="D208" s="1" t="s">
        <v>25</v>
      </c>
      <c r="E208" s="1" t="s">
        <v>28</v>
      </c>
      <c r="F208" s="1">
        <v>9</v>
      </c>
      <c r="G208" s="1">
        <v>646.76</v>
      </c>
      <c r="H208" s="1">
        <v>520.5</v>
      </c>
      <c r="I208" s="1">
        <f>TablaVentas[[#This Row],[Precio Unitario]]*TablaVentas[[#This Row],[Cantidad]]</f>
        <v>5820.84</v>
      </c>
      <c r="J208" s="1">
        <f>TablaVentas[[#This Row],[Costo Unitario]]*TablaVentas[[#This Row],[Cantidad]]</f>
        <v>4684.5</v>
      </c>
      <c r="K208" s="1">
        <f>TablaVentas[[#This Row],[Total Venta]]-TablaVentas[[#This Row],[Total Costo]]</f>
        <v>1136.3400000000001</v>
      </c>
    </row>
    <row r="209" spans="1:11" x14ac:dyDescent="0.25">
      <c r="A209" s="2">
        <v>45072</v>
      </c>
      <c r="B209" s="1" t="s">
        <v>32</v>
      </c>
      <c r="C209" s="1" t="s">
        <v>30</v>
      </c>
      <c r="D209" s="1" t="s">
        <v>10</v>
      </c>
      <c r="E209" s="1" t="s">
        <v>28</v>
      </c>
      <c r="F209" s="1">
        <v>10</v>
      </c>
      <c r="G209" s="1">
        <v>343.84</v>
      </c>
      <c r="H209" s="1">
        <v>221.68</v>
      </c>
      <c r="I209" s="1">
        <f>TablaVentas[[#This Row],[Precio Unitario]]*TablaVentas[[#This Row],[Cantidad]]</f>
        <v>3438.3999999999996</v>
      </c>
      <c r="J209" s="1">
        <f>TablaVentas[[#This Row],[Costo Unitario]]*TablaVentas[[#This Row],[Cantidad]]</f>
        <v>2216.8000000000002</v>
      </c>
      <c r="K209" s="1">
        <f>TablaVentas[[#This Row],[Total Venta]]-TablaVentas[[#This Row],[Total Costo]]</f>
        <v>1221.5999999999995</v>
      </c>
    </row>
    <row r="210" spans="1:11" x14ac:dyDescent="0.25">
      <c r="A210" s="2">
        <v>45073</v>
      </c>
      <c r="B210" s="1" t="s">
        <v>26</v>
      </c>
      <c r="C210" s="1" t="s">
        <v>19</v>
      </c>
      <c r="D210" s="1" t="s">
        <v>17</v>
      </c>
      <c r="E210" s="1" t="s">
        <v>11</v>
      </c>
      <c r="F210" s="1">
        <v>1</v>
      </c>
      <c r="G210" s="1">
        <v>48.25</v>
      </c>
      <c r="H210" s="1">
        <v>27.24</v>
      </c>
      <c r="I210" s="1">
        <f>TablaVentas[[#This Row],[Precio Unitario]]*TablaVentas[[#This Row],[Cantidad]]</f>
        <v>48.25</v>
      </c>
      <c r="J210" s="1">
        <f>TablaVentas[[#This Row],[Costo Unitario]]*TablaVentas[[#This Row],[Cantidad]]</f>
        <v>27.24</v>
      </c>
      <c r="K210" s="1">
        <f>TablaVentas[[#This Row],[Total Venta]]-TablaVentas[[#This Row],[Total Costo]]</f>
        <v>21.01</v>
      </c>
    </row>
    <row r="211" spans="1:11" x14ac:dyDescent="0.25">
      <c r="A211" s="2">
        <v>45073</v>
      </c>
      <c r="B211" s="1" t="s">
        <v>23</v>
      </c>
      <c r="C211" s="1" t="s">
        <v>9</v>
      </c>
      <c r="D211" s="1" t="s">
        <v>33</v>
      </c>
      <c r="E211" s="1" t="s">
        <v>22</v>
      </c>
      <c r="F211" s="1">
        <v>1</v>
      </c>
      <c r="G211" s="1">
        <v>63.98</v>
      </c>
      <c r="H211" s="1">
        <v>46.63</v>
      </c>
      <c r="I211" s="1">
        <f>TablaVentas[[#This Row],[Precio Unitario]]*TablaVentas[[#This Row],[Cantidad]]</f>
        <v>63.98</v>
      </c>
      <c r="J211" s="1">
        <f>TablaVentas[[#This Row],[Costo Unitario]]*TablaVentas[[#This Row],[Cantidad]]</f>
        <v>46.63</v>
      </c>
      <c r="K211" s="1">
        <f>TablaVentas[[#This Row],[Total Venta]]-TablaVentas[[#This Row],[Total Costo]]</f>
        <v>17.349999999999994</v>
      </c>
    </row>
    <row r="212" spans="1:11" x14ac:dyDescent="0.25">
      <c r="A212" s="2">
        <v>45074</v>
      </c>
      <c r="B212" s="1" t="s">
        <v>34</v>
      </c>
      <c r="C212" s="1" t="s">
        <v>13</v>
      </c>
      <c r="D212" s="1" t="s">
        <v>24</v>
      </c>
      <c r="E212" s="1" t="s">
        <v>28</v>
      </c>
      <c r="F212" s="1">
        <v>5</v>
      </c>
      <c r="G212" s="1">
        <v>295.27999999999997</v>
      </c>
      <c r="H212" s="1">
        <v>181.53</v>
      </c>
      <c r="I212" s="1">
        <f>TablaVentas[[#This Row],[Precio Unitario]]*TablaVentas[[#This Row],[Cantidad]]</f>
        <v>1476.3999999999999</v>
      </c>
      <c r="J212" s="1">
        <f>TablaVentas[[#This Row],[Costo Unitario]]*TablaVentas[[#This Row],[Cantidad]]</f>
        <v>907.65</v>
      </c>
      <c r="K212" s="1">
        <f>TablaVentas[[#This Row],[Total Venta]]-TablaVentas[[#This Row],[Total Costo]]</f>
        <v>568.74999999999989</v>
      </c>
    </row>
    <row r="213" spans="1:11" x14ac:dyDescent="0.25">
      <c r="A213" s="2">
        <v>45074</v>
      </c>
      <c r="B213" s="1" t="s">
        <v>29</v>
      </c>
      <c r="C213" s="1" t="s">
        <v>30</v>
      </c>
      <c r="D213" s="1" t="s">
        <v>10</v>
      </c>
      <c r="E213" s="1" t="s">
        <v>22</v>
      </c>
      <c r="F213" s="1">
        <v>5</v>
      </c>
      <c r="G213" s="1">
        <v>382.69</v>
      </c>
      <c r="H213" s="1">
        <v>339.93</v>
      </c>
      <c r="I213" s="1">
        <f>TablaVentas[[#This Row],[Precio Unitario]]*TablaVentas[[#This Row],[Cantidad]]</f>
        <v>1913.45</v>
      </c>
      <c r="J213" s="1">
        <f>TablaVentas[[#This Row],[Costo Unitario]]*TablaVentas[[#This Row],[Cantidad]]</f>
        <v>1699.65</v>
      </c>
      <c r="K213" s="1">
        <f>TablaVentas[[#This Row],[Total Venta]]-TablaVentas[[#This Row],[Total Costo]]</f>
        <v>213.79999999999995</v>
      </c>
    </row>
    <row r="214" spans="1:11" x14ac:dyDescent="0.25">
      <c r="A214" s="2">
        <v>45076</v>
      </c>
      <c r="B214" s="1" t="s">
        <v>23</v>
      </c>
      <c r="C214" s="1" t="s">
        <v>9</v>
      </c>
      <c r="D214" s="1" t="s">
        <v>10</v>
      </c>
      <c r="E214" s="1" t="s">
        <v>15</v>
      </c>
      <c r="F214" s="1">
        <v>10</v>
      </c>
      <c r="G214" s="1">
        <v>74.36</v>
      </c>
      <c r="H214" s="1">
        <v>40.54</v>
      </c>
      <c r="I214" s="1">
        <f>TablaVentas[[#This Row],[Precio Unitario]]*TablaVentas[[#This Row],[Cantidad]]</f>
        <v>743.6</v>
      </c>
      <c r="J214" s="1">
        <f>TablaVentas[[#This Row],[Costo Unitario]]*TablaVentas[[#This Row],[Cantidad]]</f>
        <v>405.4</v>
      </c>
      <c r="K214" s="1">
        <f>TablaVentas[[#This Row],[Total Venta]]-TablaVentas[[#This Row],[Total Costo]]</f>
        <v>338.20000000000005</v>
      </c>
    </row>
    <row r="215" spans="1:11" x14ac:dyDescent="0.25">
      <c r="A215" s="2">
        <v>45076</v>
      </c>
      <c r="B215" s="1" t="s">
        <v>12</v>
      </c>
      <c r="C215" s="1" t="s">
        <v>13</v>
      </c>
      <c r="D215" s="1" t="s">
        <v>27</v>
      </c>
      <c r="E215" s="1" t="s">
        <v>20</v>
      </c>
      <c r="F215" s="1">
        <v>7</v>
      </c>
      <c r="G215" s="1">
        <v>65.959999999999994</v>
      </c>
      <c r="H215" s="1">
        <v>43.93</v>
      </c>
      <c r="I215" s="1">
        <f>TablaVentas[[#This Row],[Precio Unitario]]*TablaVentas[[#This Row],[Cantidad]]</f>
        <v>461.71999999999997</v>
      </c>
      <c r="J215" s="1">
        <f>TablaVentas[[#This Row],[Costo Unitario]]*TablaVentas[[#This Row],[Cantidad]]</f>
        <v>307.51</v>
      </c>
      <c r="K215" s="1">
        <f>TablaVentas[[#This Row],[Total Venta]]-TablaVentas[[#This Row],[Total Costo]]</f>
        <v>154.20999999999998</v>
      </c>
    </row>
    <row r="216" spans="1:11" x14ac:dyDescent="0.25">
      <c r="A216" s="2">
        <v>45077</v>
      </c>
      <c r="B216" s="1" t="s">
        <v>12</v>
      </c>
      <c r="C216" s="1" t="s">
        <v>13</v>
      </c>
      <c r="D216" s="1" t="s">
        <v>10</v>
      </c>
      <c r="E216" s="1" t="s">
        <v>28</v>
      </c>
      <c r="F216" s="1">
        <v>10</v>
      </c>
      <c r="G216" s="1">
        <v>61.7</v>
      </c>
      <c r="H216" s="1">
        <v>42.36</v>
      </c>
      <c r="I216" s="1">
        <f>TablaVentas[[#This Row],[Precio Unitario]]*TablaVentas[[#This Row],[Cantidad]]</f>
        <v>617</v>
      </c>
      <c r="J216" s="1">
        <f>TablaVentas[[#This Row],[Costo Unitario]]*TablaVentas[[#This Row],[Cantidad]]</f>
        <v>423.6</v>
      </c>
      <c r="K216" s="1">
        <f>TablaVentas[[#This Row],[Total Venta]]-TablaVentas[[#This Row],[Total Costo]]</f>
        <v>193.39999999999998</v>
      </c>
    </row>
    <row r="217" spans="1:11" x14ac:dyDescent="0.25">
      <c r="A217" s="2">
        <v>45077</v>
      </c>
      <c r="B217" s="1" t="s">
        <v>29</v>
      </c>
      <c r="C217" s="1" t="s">
        <v>30</v>
      </c>
      <c r="D217" s="1" t="s">
        <v>33</v>
      </c>
      <c r="E217" s="1" t="s">
        <v>11</v>
      </c>
      <c r="F217" s="1">
        <v>4</v>
      </c>
      <c r="G217" s="1">
        <v>426.53</v>
      </c>
      <c r="H217" s="1">
        <v>335.15</v>
      </c>
      <c r="I217" s="1">
        <f>TablaVentas[[#This Row],[Precio Unitario]]*TablaVentas[[#This Row],[Cantidad]]</f>
        <v>1706.12</v>
      </c>
      <c r="J217" s="1">
        <f>TablaVentas[[#This Row],[Costo Unitario]]*TablaVentas[[#This Row],[Cantidad]]</f>
        <v>1340.6</v>
      </c>
      <c r="K217" s="1">
        <f>TablaVentas[[#This Row],[Total Venta]]-TablaVentas[[#This Row],[Total Costo]]</f>
        <v>365.52</v>
      </c>
    </row>
    <row r="218" spans="1:11" x14ac:dyDescent="0.25">
      <c r="A218" s="2">
        <v>45077</v>
      </c>
      <c r="B218" s="1" t="s">
        <v>34</v>
      </c>
      <c r="C218" s="1" t="s">
        <v>13</v>
      </c>
      <c r="D218" s="1" t="s">
        <v>24</v>
      </c>
      <c r="E218" s="1" t="s">
        <v>28</v>
      </c>
      <c r="F218" s="1">
        <v>3</v>
      </c>
      <c r="G218" s="1">
        <v>257.68</v>
      </c>
      <c r="H218" s="1">
        <v>186.53</v>
      </c>
      <c r="I218" s="1">
        <f>TablaVentas[[#This Row],[Precio Unitario]]*TablaVentas[[#This Row],[Cantidad]]</f>
        <v>773.04</v>
      </c>
      <c r="J218" s="1">
        <f>TablaVentas[[#This Row],[Costo Unitario]]*TablaVentas[[#This Row],[Cantidad]]</f>
        <v>559.59</v>
      </c>
      <c r="K218" s="1">
        <f>TablaVentas[[#This Row],[Total Venta]]-TablaVentas[[#This Row],[Total Costo]]</f>
        <v>213.44999999999993</v>
      </c>
    </row>
    <row r="219" spans="1:11" x14ac:dyDescent="0.25">
      <c r="A219" s="2">
        <v>45078</v>
      </c>
      <c r="B219" s="1" t="s">
        <v>23</v>
      </c>
      <c r="C219" s="1" t="s">
        <v>9</v>
      </c>
      <c r="D219" s="1" t="s">
        <v>25</v>
      </c>
      <c r="E219" s="1" t="s">
        <v>15</v>
      </c>
      <c r="F219" s="1">
        <v>5</v>
      </c>
      <c r="G219" s="1">
        <v>72.19</v>
      </c>
      <c r="H219" s="1">
        <v>48.22</v>
      </c>
      <c r="I219" s="1">
        <f>TablaVentas[[#This Row],[Precio Unitario]]*TablaVentas[[#This Row],[Cantidad]]</f>
        <v>360.95</v>
      </c>
      <c r="J219" s="1">
        <f>TablaVentas[[#This Row],[Costo Unitario]]*TablaVentas[[#This Row],[Cantidad]]</f>
        <v>241.1</v>
      </c>
      <c r="K219" s="1">
        <f>TablaVentas[[#This Row],[Total Venta]]-TablaVentas[[#This Row],[Total Costo]]</f>
        <v>119.85</v>
      </c>
    </row>
    <row r="220" spans="1:11" x14ac:dyDescent="0.25">
      <c r="A220" s="2">
        <v>45078</v>
      </c>
      <c r="B220" s="1" t="s">
        <v>16</v>
      </c>
      <c r="C220" s="1" t="s">
        <v>13</v>
      </c>
      <c r="D220" s="1" t="s">
        <v>24</v>
      </c>
      <c r="E220" s="1" t="s">
        <v>28</v>
      </c>
      <c r="F220" s="1">
        <v>8</v>
      </c>
      <c r="G220" s="1">
        <v>48.38</v>
      </c>
      <c r="H220" s="1">
        <v>35.950000000000003</v>
      </c>
      <c r="I220" s="1">
        <f>TablaVentas[[#This Row],[Precio Unitario]]*TablaVentas[[#This Row],[Cantidad]]</f>
        <v>387.04</v>
      </c>
      <c r="J220" s="1">
        <f>TablaVentas[[#This Row],[Costo Unitario]]*TablaVentas[[#This Row],[Cantidad]]</f>
        <v>287.60000000000002</v>
      </c>
      <c r="K220" s="1">
        <f>TablaVentas[[#This Row],[Total Venta]]-TablaVentas[[#This Row],[Total Costo]]</f>
        <v>99.44</v>
      </c>
    </row>
    <row r="221" spans="1:11" x14ac:dyDescent="0.25">
      <c r="A221" s="2">
        <v>45078</v>
      </c>
      <c r="B221" s="1" t="s">
        <v>8</v>
      </c>
      <c r="C221" s="1" t="s">
        <v>9</v>
      </c>
      <c r="D221" s="1" t="s">
        <v>25</v>
      </c>
      <c r="E221" s="1" t="s">
        <v>11</v>
      </c>
      <c r="F221" s="1">
        <v>3</v>
      </c>
      <c r="G221" s="1">
        <v>743.62</v>
      </c>
      <c r="H221" s="1">
        <v>438.15</v>
      </c>
      <c r="I221" s="1">
        <f>TablaVentas[[#This Row],[Precio Unitario]]*TablaVentas[[#This Row],[Cantidad]]</f>
        <v>2230.86</v>
      </c>
      <c r="J221" s="1">
        <f>TablaVentas[[#This Row],[Costo Unitario]]*TablaVentas[[#This Row],[Cantidad]]</f>
        <v>1314.4499999999998</v>
      </c>
      <c r="K221" s="1">
        <f>TablaVentas[[#This Row],[Total Venta]]-TablaVentas[[#This Row],[Total Costo]]</f>
        <v>916.41000000000031</v>
      </c>
    </row>
    <row r="222" spans="1:11" x14ac:dyDescent="0.25">
      <c r="A222" s="2">
        <v>45079</v>
      </c>
      <c r="B222" s="1" t="s">
        <v>32</v>
      </c>
      <c r="C222" s="1" t="s">
        <v>30</v>
      </c>
      <c r="D222" s="1" t="s">
        <v>17</v>
      </c>
      <c r="E222" s="1" t="s">
        <v>15</v>
      </c>
      <c r="F222" s="1">
        <v>8</v>
      </c>
      <c r="G222" s="1">
        <v>275.55</v>
      </c>
      <c r="H222" s="1">
        <v>194.43</v>
      </c>
      <c r="I222" s="1">
        <f>TablaVentas[[#This Row],[Precio Unitario]]*TablaVentas[[#This Row],[Cantidad]]</f>
        <v>2204.4</v>
      </c>
      <c r="J222" s="1">
        <f>TablaVentas[[#This Row],[Costo Unitario]]*TablaVentas[[#This Row],[Cantidad]]</f>
        <v>1555.44</v>
      </c>
      <c r="K222" s="1">
        <f>TablaVentas[[#This Row],[Total Venta]]-TablaVentas[[#This Row],[Total Costo]]</f>
        <v>648.96</v>
      </c>
    </row>
    <row r="223" spans="1:11" x14ac:dyDescent="0.25">
      <c r="A223" s="2">
        <v>45079</v>
      </c>
      <c r="B223" s="1" t="s">
        <v>8</v>
      </c>
      <c r="C223" s="1" t="s">
        <v>9</v>
      </c>
      <c r="D223" s="1" t="s">
        <v>10</v>
      </c>
      <c r="E223" s="1" t="s">
        <v>20</v>
      </c>
      <c r="F223" s="1">
        <v>2</v>
      </c>
      <c r="G223" s="1">
        <v>593.71</v>
      </c>
      <c r="H223" s="1">
        <v>459.79</v>
      </c>
      <c r="I223" s="1">
        <f>TablaVentas[[#This Row],[Precio Unitario]]*TablaVentas[[#This Row],[Cantidad]]</f>
        <v>1187.42</v>
      </c>
      <c r="J223" s="1">
        <f>TablaVentas[[#This Row],[Costo Unitario]]*TablaVentas[[#This Row],[Cantidad]]</f>
        <v>919.58</v>
      </c>
      <c r="K223" s="1">
        <f>TablaVentas[[#This Row],[Total Venta]]-TablaVentas[[#This Row],[Total Costo]]</f>
        <v>267.84000000000003</v>
      </c>
    </row>
    <row r="224" spans="1:11" x14ac:dyDescent="0.25">
      <c r="A224" s="2">
        <v>45079</v>
      </c>
      <c r="B224" s="1" t="s">
        <v>8</v>
      </c>
      <c r="C224" s="1" t="s">
        <v>9</v>
      </c>
      <c r="D224" s="1" t="s">
        <v>10</v>
      </c>
      <c r="E224" s="1" t="s">
        <v>22</v>
      </c>
      <c r="F224" s="1">
        <v>7</v>
      </c>
      <c r="G224" s="1">
        <v>735.35</v>
      </c>
      <c r="H224" s="1">
        <v>509.49</v>
      </c>
      <c r="I224" s="1">
        <f>TablaVentas[[#This Row],[Precio Unitario]]*TablaVentas[[#This Row],[Cantidad]]</f>
        <v>5147.45</v>
      </c>
      <c r="J224" s="1">
        <f>TablaVentas[[#This Row],[Costo Unitario]]*TablaVentas[[#This Row],[Cantidad]]</f>
        <v>3566.4300000000003</v>
      </c>
      <c r="K224" s="1">
        <f>TablaVentas[[#This Row],[Total Venta]]-TablaVentas[[#This Row],[Total Costo]]</f>
        <v>1581.0199999999995</v>
      </c>
    </row>
    <row r="225" spans="1:11" x14ac:dyDescent="0.25">
      <c r="A225" s="2">
        <v>45080</v>
      </c>
      <c r="B225" s="1" t="s">
        <v>18</v>
      </c>
      <c r="C225" s="1" t="s">
        <v>19</v>
      </c>
      <c r="D225" s="1" t="s">
        <v>31</v>
      </c>
      <c r="E225" s="1" t="s">
        <v>11</v>
      </c>
      <c r="F225" s="1">
        <v>2</v>
      </c>
      <c r="G225" s="1">
        <v>1020.09</v>
      </c>
      <c r="H225" s="1">
        <v>856.25</v>
      </c>
      <c r="I225" s="1">
        <f>TablaVentas[[#This Row],[Precio Unitario]]*TablaVentas[[#This Row],[Cantidad]]</f>
        <v>2040.18</v>
      </c>
      <c r="J225" s="1">
        <f>TablaVentas[[#This Row],[Costo Unitario]]*TablaVentas[[#This Row],[Cantidad]]</f>
        <v>1712.5</v>
      </c>
      <c r="K225" s="1">
        <f>TablaVentas[[#This Row],[Total Venta]]-TablaVentas[[#This Row],[Total Costo]]</f>
        <v>327.68000000000006</v>
      </c>
    </row>
    <row r="226" spans="1:11" x14ac:dyDescent="0.25">
      <c r="A226" s="2">
        <v>45080</v>
      </c>
      <c r="B226" s="1" t="s">
        <v>21</v>
      </c>
      <c r="C226" s="1" t="s">
        <v>19</v>
      </c>
      <c r="D226" s="1" t="s">
        <v>24</v>
      </c>
      <c r="E226" s="1" t="s">
        <v>22</v>
      </c>
      <c r="F226" s="1">
        <v>1</v>
      </c>
      <c r="G226" s="1">
        <v>83.44</v>
      </c>
      <c r="H226" s="1">
        <v>46.82</v>
      </c>
      <c r="I226" s="1">
        <f>TablaVentas[[#This Row],[Precio Unitario]]*TablaVentas[[#This Row],[Cantidad]]</f>
        <v>83.44</v>
      </c>
      <c r="J226" s="1">
        <f>TablaVentas[[#This Row],[Costo Unitario]]*TablaVentas[[#This Row],[Cantidad]]</f>
        <v>46.82</v>
      </c>
      <c r="K226" s="1">
        <f>TablaVentas[[#This Row],[Total Venta]]-TablaVentas[[#This Row],[Total Costo]]</f>
        <v>36.619999999999997</v>
      </c>
    </row>
    <row r="227" spans="1:11" x14ac:dyDescent="0.25">
      <c r="A227" s="2">
        <v>45080</v>
      </c>
      <c r="B227" s="1" t="s">
        <v>8</v>
      </c>
      <c r="C227" s="1" t="s">
        <v>9</v>
      </c>
      <c r="D227" s="1" t="s">
        <v>14</v>
      </c>
      <c r="E227" s="1" t="s">
        <v>20</v>
      </c>
      <c r="F227" s="1">
        <v>7</v>
      </c>
      <c r="G227" s="1">
        <v>604.97</v>
      </c>
      <c r="H227" s="1">
        <v>455.48</v>
      </c>
      <c r="I227" s="1">
        <f>TablaVentas[[#This Row],[Precio Unitario]]*TablaVentas[[#This Row],[Cantidad]]</f>
        <v>4234.79</v>
      </c>
      <c r="J227" s="1">
        <f>TablaVentas[[#This Row],[Costo Unitario]]*TablaVentas[[#This Row],[Cantidad]]</f>
        <v>3188.36</v>
      </c>
      <c r="K227" s="1">
        <f>TablaVentas[[#This Row],[Total Venta]]-TablaVentas[[#This Row],[Total Costo]]</f>
        <v>1046.4299999999998</v>
      </c>
    </row>
    <row r="228" spans="1:11" x14ac:dyDescent="0.25">
      <c r="A228" s="2">
        <v>45081</v>
      </c>
      <c r="B228" s="1" t="s">
        <v>8</v>
      </c>
      <c r="C228" s="1" t="s">
        <v>9</v>
      </c>
      <c r="D228" s="1" t="s">
        <v>17</v>
      </c>
      <c r="E228" s="1" t="s">
        <v>20</v>
      </c>
      <c r="F228" s="1">
        <v>10</v>
      </c>
      <c r="G228" s="1">
        <v>654.23</v>
      </c>
      <c r="H228" s="1">
        <v>492.08</v>
      </c>
      <c r="I228" s="1">
        <f>TablaVentas[[#This Row],[Precio Unitario]]*TablaVentas[[#This Row],[Cantidad]]</f>
        <v>6542.3</v>
      </c>
      <c r="J228" s="1">
        <f>TablaVentas[[#This Row],[Costo Unitario]]*TablaVentas[[#This Row],[Cantidad]]</f>
        <v>4920.8</v>
      </c>
      <c r="K228" s="1">
        <f>TablaVentas[[#This Row],[Total Venta]]-TablaVentas[[#This Row],[Total Costo]]</f>
        <v>1621.5</v>
      </c>
    </row>
    <row r="229" spans="1:11" x14ac:dyDescent="0.25">
      <c r="A229" s="2">
        <v>45081</v>
      </c>
      <c r="B229" s="1" t="s">
        <v>18</v>
      </c>
      <c r="C229" s="1" t="s">
        <v>19</v>
      </c>
      <c r="D229" s="1" t="s">
        <v>33</v>
      </c>
      <c r="E229" s="1" t="s">
        <v>28</v>
      </c>
      <c r="F229" s="1">
        <v>10</v>
      </c>
      <c r="G229" s="1">
        <v>1252.75</v>
      </c>
      <c r="H229" s="1">
        <v>845.91</v>
      </c>
      <c r="I229" s="1">
        <f>TablaVentas[[#This Row],[Precio Unitario]]*TablaVentas[[#This Row],[Cantidad]]</f>
        <v>12527.5</v>
      </c>
      <c r="J229" s="1">
        <f>TablaVentas[[#This Row],[Costo Unitario]]*TablaVentas[[#This Row],[Cantidad]]</f>
        <v>8459.1</v>
      </c>
      <c r="K229" s="1">
        <f>TablaVentas[[#This Row],[Total Venta]]-TablaVentas[[#This Row],[Total Costo]]</f>
        <v>4068.3999999999996</v>
      </c>
    </row>
    <row r="230" spans="1:11" x14ac:dyDescent="0.25">
      <c r="A230" s="2">
        <v>45081</v>
      </c>
      <c r="B230" s="1" t="s">
        <v>21</v>
      </c>
      <c r="C230" s="1" t="s">
        <v>19</v>
      </c>
      <c r="D230" s="1" t="s">
        <v>25</v>
      </c>
      <c r="E230" s="1" t="s">
        <v>11</v>
      </c>
      <c r="F230" s="1">
        <v>5</v>
      </c>
      <c r="G230" s="1">
        <v>85.4</v>
      </c>
      <c r="H230" s="1">
        <v>55.87</v>
      </c>
      <c r="I230" s="1">
        <f>TablaVentas[[#This Row],[Precio Unitario]]*TablaVentas[[#This Row],[Cantidad]]</f>
        <v>427</v>
      </c>
      <c r="J230" s="1">
        <f>TablaVentas[[#This Row],[Costo Unitario]]*TablaVentas[[#This Row],[Cantidad]]</f>
        <v>279.34999999999997</v>
      </c>
      <c r="K230" s="1">
        <f>TablaVentas[[#This Row],[Total Venta]]-TablaVentas[[#This Row],[Total Costo]]</f>
        <v>147.65000000000003</v>
      </c>
    </row>
    <row r="231" spans="1:11" x14ac:dyDescent="0.25">
      <c r="A231" s="2">
        <v>45083</v>
      </c>
      <c r="B231" s="1" t="s">
        <v>21</v>
      </c>
      <c r="C231" s="1" t="s">
        <v>19</v>
      </c>
      <c r="D231" s="1" t="s">
        <v>25</v>
      </c>
      <c r="E231" s="1" t="s">
        <v>28</v>
      </c>
      <c r="F231" s="1">
        <v>3</v>
      </c>
      <c r="G231" s="1">
        <v>93.97</v>
      </c>
      <c r="H231" s="1">
        <v>52.94</v>
      </c>
      <c r="I231" s="1">
        <f>TablaVentas[[#This Row],[Precio Unitario]]*TablaVentas[[#This Row],[Cantidad]]</f>
        <v>281.90999999999997</v>
      </c>
      <c r="J231" s="1">
        <f>TablaVentas[[#This Row],[Costo Unitario]]*TablaVentas[[#This Row],[Cantidad]]</f>
        <v>158.82</v>
      </c>
      <c r="K231" s="1">
        <f>TablaVentas[[#This Row],[Total Venta]]-TablaVentas[[#This Row],[Total Costo]]</f>
        <v>123.08999999999997</v>
      </c>
    </row>
    <row r="232" spans="1:11" x14ac:dyDescent="0.25">
      <c r="A232" s="2">
        <v>45084</v>
      </c>
      <c r="B232" s="1" t="s">
        <v>29</v>
      </c>
      <c r="C232" s="1" t="s">
        <v>30</v>
      </c>
      <c r="D232" s="1" t="s">
        <v>14</v>
      </c>
      <c r="E232" s="1" t="s">
        <v>15</v>
      </c>
      <c r="F232" s="1">
        <v>10</v>
      </c>
      <c r="G232" s="1">
        <v>436.68</v>
      </c>
      <c r="H232" s="1">
        <v>289.31</v>
      </c>
      <c r="I232" s="1">
        <f>TablaVentas[[#This Row],[Precio Unitario]]*TablaVentas[[#This Row],[Cantidad]]</f>
        <v>4366.8</v>
      </c>
      <c r="J232" s="1">
        <f>TablaVentas[[#This Row],[Costo Unitario]]*TablaVentas[[#This Row],[Cantidad]]</f>
        <v>2893.1</v>
      </c>
      <c r="K232" s="1">
        <f>TablaVentas[[#This Row],[Total Venta]]-TablaVentas[[#This Row],[Total Costo]]</f>
        <v>1473.7000000000003</v>
      </c>
    </row>
    <row r="233" spans="1:11" x14ac:dyDescent="0.25">
      <c r="A233" s="2">
        <v>45084</v>
      </c>
      <c r="B233" s="1" t="s">
        <v>26</v>
      </c>
      <c r="C233" s="1" t="s">
        <v>19</v>
      </c>
      <c r="D233" s="1" t="s">
        <v>14</v>
      </c>
      <c r="E233" s="1" t="s">
        <v>20</v>
      </c>
      <c r="F233" s="1">
        <v>3</v>
      </c>
      <c r="G233" s="1">
        <v>41.35</v>
      </c>
      <c r="H233" s="1">
        <v>26.93</v>
      </c>
      <c r="I233" s="1">
        <f>TablaVentas[[#This Row],[Precio Unitario]]*TablaVentas[[#This Row],[Cantidad]]</f>
        <v>124.05000000000001</v>
      </c>
      <c r="J233" s="1">
        <f>TablaVentas[[#This Row],[Costo Unitario]]*TablaVentas[[#This Row],[Cantidad]]</f>
        <v>80.789999999999992</v>
      </c>
      <c r="K233" s="1">
        <f>TablaVentas[[#This Row],[Total Venta]]-TablaVentas[[#This Row],[Total Costo]]</f>
        <v>43.260000000000019</v>
      </c>
    </row>
    <row r="234" spans="1:11" x14ac:dyDescent="0.25">
      <c r="A234" s="2">
        <v>45084</v>
      </c>
      <c r="B234" s="1" t="s">
        <v>34</v>
      </c>
      <c r="C234" s="1" t="s">
        <v>13</v>
      </c>
      <c r="D234" s="1" t="s">
        <v>33</v>
      </c>
      <c r="E234" s="1" t="s">
        <v>22</v>
      </c>
      <c r="F234" s="1">
        <v>1</v>
      </c>
      <c r="G234" s="1">
        <v>243.48</v>
      </c>
      <c r="H234" s="1">
        <v>193.66</v>
      </c>
      <c r="I234" s="1">
        <f>TablaVentas[[#This Row],[Precio Unitario]]*TablaVentas[[#This Row],[Cantidad]]</f>
        <v>243.48</v>
      </c>
      <c r="J234" s="1">
        <f>TablaVentas[[#This Row],[Costo Unitario]]*TablaVentas[[#This Row],[Cantidad]]</f>
        <v>193.66</v>
      </c>
      <c r="K234" s="1">
        <f>TablaVentas[[#This Row],[Total Venta]]-TablaVentas[[#This Row],[Total Costo]]</f>
        <v>49.819999999999993</v>
      </c>
    </row>
    <row r="235" spans="1:11" x14ac:dyDescent="0.25">
      <c r="A235" s="2">
        <v>45085</v>
      </c>
      <c r="B235" s="1" t="s">
        <v>32</v>
      </c>
      <c r="C235" s="1" t="s">
        <v>30</v>
      </c>
      <c r="D235" s="1" t="s">
        <v>25</v>
      </c>
      <c r="E235" s="1" t="s">
        <v>11</v>
      </c>
      <c r="F235" s="1">
        <v>6</v>
      </c>
      <c r="G235" s="1">
        <v>285.32</v>
      </c>
      <c r="H235" s="1">
        <v>210.72</v>
      </c>
      <c r="I235" s="1">
        <f>TablaVentas[[#This Row],[Precio Unitario]]*TablaVentas[[#This Row],[Cantidad]]</f>
        <v>1711.92</v>
      </c>
      <c r="J235" s="1">
        <f>TablaVentas[[#This Row],[Costo Unitario]]*TablaVentas[[#This Row],[Cantidad]]</f>
        <v>1264.32</v>
      </c>
      <c r="K235" s="1">
        <f>TablaVentas[[#This Row],[Total Venta]]-TablaVentas[[#This Row],[Total Costo]]</f>
        <v>447.60000000000014</v>
      </c>
    </row>
    <row r="236" spans="1:11" x14ac:dyDescent="0.25">
      <c r="A236" s="2">
        <v>45086</v>
      </c>
      <c r="B236" s="1" t="s">
        <v>34</v>
      </c>
      <c r="C236" s="1" t="s">
        <v>13</v>
      </c>
      <c r="D236" s="1" t="s">
        <v>24</v>
      </c>
      <c r="E236" s="1" t="s">
        <v>11</v>
      </c>
      <c r="F236" s="1">
        <v>10</v>
      </c>
      <c r="G236" s="1">
        <v>319.12</v>
      </c>
      <c r="H236" s="1">
        <v>204.11</v>
      </c>
      <c r="I236" s="1">
        <f>TablaVentas[[#This Row],[Precio Unitario]]*TablaVentas[[#This Row],[Cantidad]]</f>
        <v>3191.2</v>
      </c>
      <c r="J236" s="1">
        <f>TablaVentas[[#This Row],[Costo Unitario]]*TablaVentas[[#This Row],[Cantidad]]</f>
        <v>2041.1000000000001</v>
      </c>
      <c r="K236" s="1">
        <f>TablaVentas[[#This Row],[Total Venta]]-TablaVentas[[#This Row],[Total Costo]]</f>
        <v>1150.0999999999997</v>
      </c>
    </row>
    <row r="237" spans="1:11" x14ac:dyDescent="0.25">
      <c r="A237" s="2">
        <v>45086</v>
      </c>
      <c r="B237" s="1" t="s">
        <v>34</v>
      </c>
      <c r="C237" s="1" t="s">
        <v>13</v>
      </c>
      <c r="D237" s="1" t="s">
        <v>24</v>
      </c>
      <c r="E237" s="1" t="s">
        <v>15</v>
      </c>
      <c r="F237" s="1">
        <v>10</v>
      </c>
      <c r="G237" s="1">
        <v>290.22000000000003</v>
      </c>
      <c r="H237" s="1">
        <v>204.82</v>
      </c>
      <c r="I237" s="1">
        <f>TablaVentas[[#This Row],[Precio Unitario]]*TablaVentas[[#This Row],[Cantidad]]</f>
        <v>2902.2000000000003</v>
      </c>
      <c r="J237" s="1">
        <f>TablaVentas[[#This Row],[Costo Unitario]]*TablaVentas[[#This Row],[Cantidad]]</f>
        <v>2048.1999999999998</v>
      </c>
      <c r="K237" s="1">
        <f>TablaVentas[[#This Row],[Total Venta]]-TablaVentas[[#This Row],[Total Costo]]</f>
        <v>854.00000000000045</v>
      </c>
    </row>
    <row r="238" spans="1:11" x14ac:dyDescent="0.25">
      <c r="A238" s="2">
        <v>45086</v>
      </c>
      <c r="B238" s="1" t="s">
        <v>29</v>
      </c>
      <c r="C238" s="1" t="s">
        <v>30</v>
      </c>
      <c r="D238" s="1" t="s">
        <v>17</v>
      </c>
      <c r="E238" s="1" t="s">
        <v>11</v>
      </c>
      <c r="F238" s="1">
        <v>1</v>
      </c>
      <c r="G238" s="1">
        <v>459.66</v>
      </c>
      <c r="H238" s="1">
        <v>301.69</v>
      </c>
      <c r="I238" s="1">
        <f>TablaVentas[[#This Row],[Precio Unitario]]*TablaVentas[[#This Row],[Cantidad]]</f>
        <v>459.66</v>
      </c>
      <c r="J238" s="1">
        <f>TablaVentas[[#This Row],[Costo Unitario]]*TablaVentas[[#This Row],[Cantidad]]</f>
        <v>301.69</v>
      </c>
      <c r="K238" s="1">
        <f>TablaVentas[[#This Row],[Total Venta]]-TablaVentas[[#This Row],[Total Costo]]</f>
        <v>157.97000000000003</v>
      </c>
    </row>
    <row r="239" spans="1:11" x14ac:dyDescent="0.25">
      <c r="A239" s="2">
        <v>45087</v>
      </c>
      <c r="B239" s="1" t="s">
        <v>8</v>
      </c>
      <c r="C239" s="1" t="s">
        <v>9</v>
      </c>
      <c r="D239" s="1" t="s">
        <v>14</v>
      </c>
      <c r="E239" s="1" t="s">
        <v>20</v>
      </c>
      <c r="F239" s="1">
        <v>8</v>
      </c>
      <c r="G239" s="1">
        <v>659.39</v>
      </c>
      <c r="H239" s="1">
        <v>514.57000000000005</v>
      </c>
      <c r="I239" s="1">
        <f>TablaVentas[[#This Row],[Precio Unitario]]*TablaVentas[[#This Row],[Cantidad]]</f>
        <v>5275.12</v>
      </c>
      <c r="J239" s="1">
        <f>TablaVentas[[#This Row],[Costo Unitario]]*TablaVentas[[#This Row],[Cantidad]]</f>
        <v>4116.5600000000004</v>
      </c>
      <c r="K239" s="1">
        <f>TablaVentas[[#This Row],[Total Venta]]-TablaVentas[[#This Row],[Total Costo]]</f>
        <v>1158.5599999999995</v>
      </c>
    </row>
    <row r="240" spans="1:11" x14ac:dyDescent="0.25">
      <c r="A240" s="2">
        <v>45088</v>
      </c>
      <c r="B240" s="1" t="s">
        <v>23</v>
      </c>
      <c r="C240" s="1" t="s">
        <v>9</v>
      </c>
      <c r="D240" s="1" t="s">
        <v>24</v>
      </c>
      <c r="E240" s="1" t="s">
        <v>15</v>
      </c>
      <c r="F240" s="1">
        <v>3</v>
      </c>
      <c r="G240" s="1">
        <v>81.66</v>
      </c>
      <c r="H240" s="1">
        <v>48.09</v>
      </c>
      <c r="I240" s="1">
        <f>TablaVentas[[#This Row],[Precio Unitario]]*TablaVentas[[#This Row],[Cantidad]]</f>
        <v>244.98</v>
      </c>
      <c r="J240" s="1">
        <f>TablaVentas[[#This Row],[Costo Unitario]]*TablaVentas[[#This Row],[Cantidad]]</f>
        <v>144.27000000000001</v>
      </c>
      <c r="K240" s="1">
        <f>TablaVentas[[#This Row],[Total Venta]]-TablaVentas[[#This Row],[Total Costo]]</f>
        <v>100.70999999999998</v>
      </c>
    </row>
    <row r="241" spans="1:11" x14ac:dyDescent="0.25">
      <c r="A241" s="2">
        <v>45089</v>
      </c>
      <c r="B241" s="1" t="s">
        <v>12</v>
      </c>
      <c r="C241" s="1" t="s">
        <v>13</v>
      </c>
      <c r="D241" s="1" t="s">
        <v>25</v>
      </c>
      <c r="E241" s="1" t="s">
        <v>11</v>
      </c>
      <c r="F241" s="1">
        <v>3</v>
      </c>
      <c r="G241" s="1">
        <v>63.88</v>
      </c>
      <c r="H241" s="1">
        <v>39.31</v>
      </c>
      <c r="I241" s="1">
        <f>TablaVentas[[#This Row],[Precio Unitario]]*TablaVentas[[#This Row],[Cantidad]]</f>
        <v>191.64000000000001</v>
      </c>
      <c r="J241" s="1">
        <f>TablaVentas[[#This Row],[Costo Unitario]]*TablaVentas[[#This Row],[Cantidad]]</f>
        <v>117.93</v>
      </c>
      <c r="K241" s="1">
        <f>TablaVentas[[#This Row],[Total Venta]]-TablaVentas[[#This Row],[Total Costo]]</f>
        <v>73.710000000000008</v>
      </c>
    </row>
    <row r="242" spans="1:11" x14ac:dyDescent="0.25">
      <c r="A242" s="2">
        <v>45089</v>
      </c>
      <c r="B242" s="1" t="s">
        <v>18</v>
      </c>
      <c r="C242" s="1" t="s">
        <v>19</v>
      </c>
      <c r="D242" s="1" t="s">
        <v>10</v>
      </c>
      <c r="E242" s="1" t="s">
        <v>11</v>
      </c>
      <c r="F242" s="1">
        <v>3</v>
      </c>
      <c r="G242" s="1">
        <v>1186.06</v>
      </c>
      <c r="H242" s="1">
        <v>789.01</v>
      </c>
      <c r="I242" s="1">
        <f>TablaVentas[[#This Row],[Precio Unitario]]*TablaVentas[[#This Row],[Cantidad]]</f>
        <v>3558.18</v>
      </c>
      <c r="J242" s="1">
        <f>TablaVentas[[#This Row],[Costo Unitario]]*TablaVentas[[#This Row],[Cantidad]]</f>
        <v>2367.0299999999997</v>
      </c>
      <c r="K242" s="1">
        <f>TablaVentas[[#This Row],[Total Venta]]-TablaVentas[[#This Row],[Total Costo]]</f>
        <v>1191.1500000000001</v>
      </c>
    </row>
    <row r="243" spans="1:11" x14ac:dyDescent="0.25">
      <c r="A243" s="2">
        <v>45091</v>
      </c>
      <c r="B243" s="1" t="s">
        <v>18</v>
      </c>
      <c r="C243" s="1" t="s">
        <v>19</v>
      </c>
      <c r="D243" s="1" t="s">
        <v>10</v>
      </c>
      <c r="E243" s="1" t="s">
        <v>20</v>
      </c>
      <c r="F243" s="1">
        <v>3</v>
      </c>
      <c r="G243" s="1">
        <v>1238.5</v>
      </c>
      <c r="H243" s="1">
        <v>767.49</v>
      </c>
      <c r="I243" s="1">
        <f>TablaVentas[[#This Row],[Precio Unitario]]*TablaVentas[[#This Row],[Cantidad]]</f>
        <v>3715.5</v>
      </c>
      <c r="J243" s="1">
        <f>TablaVentas[[#This Row],[Costo Unitario]]*TablaVentas[[#This Row],[Cantidad]]</f>
        <v>2302.4700000000003</v>
      </c>
      <c r="K243" s="1">
        <f>TablaVentas[[#This Row],[Total Venta]]-TablaVentas[[#This Row],[Total Costo]]</f>
        <v>1413.0299999999997</v>
      </c>
    </row>
    <row r="244" spans="1:11" x14ac:dyDescent="0.25">
      <c r="A244" s="2">
        <v>45091</v>
      </c>
      <c r="B244" s="1" t="s">
        <v>34</v>
      </c>
      <c r="C244" s="1" t="s">
        <v>13</v>
      </c>
      <c r="D244" s="1" t="s">
        <v>33</v>
      </c>
      <c r="E244" s="1" t="s">
        <v>11</v>
      </c>
      <c r="F244" s="1">
        <v>2</v>
      </c>
      <c r="G244" s="1">
        <v>315.66000000000003</v>
      </c>
      <c r="H244" s="1">
        <v>171.76</v>
      </c>
      <c r="I244" s="1">
        <f>TablaVentas[[#This Row],[Precio Unitario]]*TablaVentas[[#This Row],[Cantidad]]</f>
        <v>631.32000000000005</v>
      </c>
      <c r="J244" s="1">
        <f>TablaVentas[[#This Row],[Costo Unitario]]*TablaVentas[[#This Row],[Cantidad]]</f>
        <v>343.52</v>
      </c>
      <c r="K244" s="1">
        <f>TablaVentas[[#This Row],[Total Venta]]-TablaVentas[[#This Row],[Total Costo]]</f>
        <v>287.80000000000007</v>
      </c>
    </row>
    <row r="245" spans="1:11" x14ac:dyDescent="0.25">
      <c r="A245" s="2">
        <v>45091</v>
      </c>
      <c r="B245" s="1" t="s">
        <v>26</v>
      </c>
      <c r="C245" s="1" t="s">
        <v>19</v>
      </c>
      <c r="D245" s="1" t="s">
        <v>14</v>
      </c>
      <c r="E245" s="1" t="s">
        <v>15</v>
      </c>
      <c r="F245" s="1">
        <v>2</v>
      </c>
      <c r="G245" s="1">
        <v>51.11</v>
      </c>
      <c r="H245" s="1">
        <v>26.82</v>
      </c>
      <c r="I245" s="1">
        <f>TablaVentas[[#This Row],[Precio Unitario]]*TablaVentas[[#This Row],[Cantidad]]</f>
        <v>102.22</v>
      </c>
      <c r="J245" s="1">
        <f>TablaVentas[[#This Row],[Costo Unitario]]*TablaVentas[[#This Row],[Cantidad]]</f>
        <v>53.64</v>
      </c>
      <c r="K245" s="1">
        <f>TablaVentas[[#This Row],[Total Venta]]-TablaVentas[[#This Row],[Total Costo]]</f>
        <v>48.58</v>
      </c>
    </row>
    <row r="246" spans="1:11" x14ac:dyDescent="0.25">
      <c r="A246" s="2">
        <v>45092</v>
      </c>
      <c r="B246" s="1" t="s">
        <v>23</v>
      </c>
      <c r="C246" s="1" t="s">
        <v>9</v>
      </c>
      <c r="D246" s="1" t="s">
        <v>24</v>
      </c>
      <c r="E246" s="1" t="s">
        <v>11</v>
      </c>
      <c r="F246" s="1">
        <v>6</v>
      </c>
      <c r="G246" s="1">
        <v>66.14</v>
      </c>
      <c r="H246" s="1">
        <v>49.49</v>
      </c>
      <c r="I246" s="1">
        <f>TablaVentas[[#This Row],[Precio Unitario]]*TablaVentas[[#This Row],[Cantidad]]</f>
        <v>396.84000000000003</v>
      </c>
      <c r="J246" s="1">
        <f>TablaVentas[[#This Row],[Costo Unitario]]*TablaVentas[[#This Row],[Cantidad]]</f>
        <v>296.94</v>
      </c>
      <c r="K246" s="1">
        <f>TablaVentas[[#This Row],[Total Venta]]-TablaVentas[[#This Row],[Total Costo]]</f>
        <v>99.900000000000034</v>
      </c>
    </row>
    <row r="247" spans="1:11" x14ac:dyDescent="0.25">
      <c r="A247" s="2">
        <v>45092</v>
      </c>
      <c r="B247" s="1" t="s">
        <v>12</v>
      </c>
      <c r="C247" s="1" t="s">
        <v>13</v>
      </c>
      <c r="D247" s="1" t="s">
        <v>17</v>
      </c>
      <c r="E247" s="1" t="s">
        <v>15</v>
      </c>
      <c r="F247" s="1">
        <v>1</v>
      </c>
      <c r="G247" s="1">
        <v>56.87</v>
      </c>
      <c r="H247" s="1">
        <v>39.86</v>
      </c>
      <c r="I247" s="1">
        <f>TablaVentas[[#This Row],[Precio Unitario]]*TablaVentas[[#This Row],[Cantidad]]</f>
        <v>56.87</v>
      </c>
      <c r="J247" s="1">
        <f>TablaVentas[[#This Row],[Costo Unitario]]*TablaVentas[[#This Row],[Cantidad]]</f>
        <v>39.86</v>
      </c>
      <c r="K247" s="1">
        <f>TablaVentas[[#This Row],[Total Venta]]-TablaVentas[[#This Row],[Total Costo]]</f>
        <v>17.009999999999998</v>
      </c>
    </row>
    <row r="248" spans="1:11" x14ac:dyDescent="0.25">
      <c r="A248" s="2">
        <v>45092</v>
      </c>
      <c r="B248" s="1" t="s">
        <v>21</v>
      </c>
      <c r="C248" s="1" t="s">
        <v>19</v>
      </c>
      <c r="D248" s="1" t="s">
        <v>17</v>
      </c>
      <c r="E248" s="1" t="s">
        <v>15</v>
      </c>
      <c r="F248" s="1">
        <v>7</v>
      </c>
      <c r="G248" s="1">
        <v>94.17</v>
      </c>
      <c r="H248" s="1">
        <v>52.34</v>
      </c>
      <c r="I248" s="1">
        <f>TablaVentas[[#This Row],[Precio Unitario]]*TablaVentas[[#This Row],[Cantidad]]</f>
        <v>659.19</v>
      </c>
      <c r="J248" s="1">
        <f>TablaVentas[[#This Row],[Costo Unitario]]*TablaVentas[[#This Row],[Cantidad]]</f>
        <v>366.38</v>
      </c>
      <c r="K248" s="1">
        <f>TablaVentas[[#This Row],[Total Venta]]-TablaVentas[[#This Row],[Total Costo]]</f>
        <v>292.81000000000006</v>
      </c>
    </row>
    <row r="249" spans="1:11" x14ac:dyDescent="0.25">
      <c r="A249" s="2">
        <v>45093</v>
      </c>
      <c r="B249" s="1" t="s">
        <v>23</v>
      </c>
      <c r="C249" s="1" t="s">
        <v>9</v>
      </c>
      <c r="D249" s="1" t="s">
        <v>25</v>
      </c>
      <c r="E249" s="1" t="s">
        <v>28</v>
      </c>
      <c r="F249" s="1">
        <v>9</v>
      </c>
      <c r="G249" s="1">
        <v>72.09</v>
      </c>
      <c r="H249" s="1">
        <v>43.22</v>
      </c>
      <c r="I249" s="1">
        <f>TablaVentas[[#This Row],[Precio Unitario]]*TablaVentas[[#This Row],[Cantidad]]</f>
        <v>648.81000000000006</v>
      </c>
      <c r="J249" s="1">
        <f>TablaVentas[[#This Row],[Costo Unitario]]*TablaVentas[[#This Row],[Cantidad]]</f>
        <v>388.98</v>
      </c>
      <c r="K249" s="1">
        <f>TablaVentas[[#This Row],[Total Venta]]-TablaVentas[[#This Row],[Total Costo]]</f>
        <v>259.83000000000004</v>
      </c>
    </row>
    <row r="250" spans="1:11" x14ac:dyDescent="0.25">
      <c r="A250" s="2">
        <v>45093</v>
      </c>
      <c r="B250" s="1" t="s">
        <v>32</v>
      </c>
      <c r="C250" s="1" t="s">
        <v>30</v>
      </c>
      <c r="D250" s="1" t="s">
        <v>17</v>
      </c>
      <c r="E250" s="1" t="s">
        <v>22</v>
      </c>
      <c r="F250" s="1">
        <v>9</v>
      </c>
      <c r="G250" s="1">
        <v>364.62</v>
      </c>
      <c r="H250" s="1">
        <v>189.72</v>
      </c>
      <c r="I250" s="1">
        <f>TablaVentas[[#This Row],[Precio Unitario]]*TablaVentas[[#This Row],[Cantidad]]</f>
        <v>3281.58</v>
      </c>
      <c r="J250" s="1">
        <f>TablaVentas[[#This Row],[Costo Unitario]]*TablaVentas[[#This Row],[Cantidad]]</f>
        <v>1707.48</v>
      </c>
      <c r="K250" s="1">
        <f>TablaVentas[[#This Row],[Total Venta]]-TablaVentas[[#This Row],[Total Costo]]</f>
        <v>1574.1</v>
      </c>
    </row>
    <row r="251" spans="1:11" x14ac:dyDescent="0.25">
      <c r="A251" s="2">
        <v>45093</v>
      </c>
      <c r="B251" s="1" t="s">
        <v>34</v>
      </c>
      <c r="C251" s="1" t="s">
        <v>13</v>
      </c>
      <c r="D251" s="1" t="s">
        <v>17</v>
      </c>
      <c r="E251" s="1" t="s">
        <v>22</v>
      </c>
      <c r="F251" s="1">
        <v>6</v>
      </c>
      <c r="G251" s="1">
        <v>291.52999999999997</v>
      </c>
      <c r="H251" s="1">
        <v>199.46</v>
      </c>
      <c r="I251" s="1">
        <f>TablaVentas[[#This Row],[Precio Unitario]]*TablaVentas[[#This Row],[Cantidad]]</f>
        <v>1749.1799999999998</v>
      </c>
      <c r="J251" s="1">
        <f>TablaVentas[[#This Row],[Costo Unitario]]*TablaVentas[[#This Row],[Cantidad]]</f>
        <v>1196.76</v>
      </c>
      <c r="K251" s="1">
        <f>TablaVentas[[#This Row],[Total Venta]]-TablaVentas[[#This Row],[Total Costo]]</f>
        <v>552.41999999999985</v>
      </c>
    </row>
    <row r="252" spans="1:11" x14ac:dyDescent="0.25">
      <c r="A252" s="2">
        <v>45094</v>
      </c>
      <c r="B252" s="1" t="s">
        <v>34</v>
      </c>
      <c r="C252" s="1" t="s">
        <v>13</v>
      </c>
      <c r="D252" s="1" t="s">
        <v>14</v>
      </c>
      <c r="E252" s="1" t="s">
        <v>22</v>
      </c>
      <c r="F252" s="1">
        <v>4</v>
      </c>
      <c r="G252" s="1">
        <v>239.52</v>
      </c>
      <c r="H252" s="1">
        <v>201.9</v>
      </c>
      <c r="I252" s="1">
        <f>TablaVentas[[#This Row],[Precio Unitario]]*TablaVentas[[#This Row],[Cantidad]]</f>
        <v>958.08</v>
      </c>
      <c r="J252" s="1">
        <f>TablaVentas[[#This Row],[Costo Unitario]]*TablaVentas[[#This Row],[Cantidad]]</f>
        <v>807.6</v>
      </c>
      <c r="K252" s="1">
        <f>TablaVentas[[#This Row],[Total Venta]]-TablaVentas[[#This Row],[Total Costo]]</f>
        <v>150.48000000000002</v>
      </c>
    </row>
    <row r="253" spans="1:11" x14ac:dyDescent="0.25">
      <c r="A253" s="2">
        <v>45094</v>
      </c>
      <c r="B253" s="1" t="s">
        <v>26</v>
      </c>
      <c r="C253" s="1" t="s">
        <v>19</v>
      </c>
      <c r="D253" s="1" t="s">
        <v>14</v>
      </c>
      <c r="E253" s="1" t="s">
        <v>22</v>
      </c>
      <c r="F253" s="1">
        <v>3</v>
      </c>
      <c r="G253" s="1">
        <v>44.37</v>
      </c>
      <c r="H253" s="1">
        <v>23.78</v>
      </c>
      <c r="I253" s="1">
        <f>TablaVentas[[#This Row],[Precio Unitario]]*TablaVentas[[#This Row],[Cantidad]]</f>
        <v>133.10999999999999</v>
      </c>
      <c r="J253" s="1">
        <f>TablaVentas[[#This Row],[Costo Unitario]]*TablaVentas[[#This Row],[Cantidad]]</f>
        <v>71.34</v>
      </c>
      <c r="K253" s="1">
        <f>TablaVentas[[#This Row],[Total Venta]]-TablaVentas[[#This Row],[Total Costo]]</f>
        <v>61.769999999999982</v>
      </c>
    </row>
    <row r="254" spans="1:11" x14ac:dyDescent="0.25">
      <c r="A254" s="2">
        <v>45094</v>
      </c>
      <c r="B254" s="1" t="s">
        <v>34</v>
      </c>
      <c r="C254" s="1" t="s">
        <v>13</v>
      </c>
      <c r="D254" s="1" t="s">
        <v>25</v>
      </c>
      <c r="E254" s="1" t="s">
        <v>28</v>
      </c>
      <c r="F254" s="1">
        <v>1</v>
      </c>
      <c r="G254" s="1">
        <v>286.39999999999998</v>
      </c>
      <c r="H254" s="1">
        <v>190.87</v>
      </c>
      <c r="I254" s="1">
        <f>TablaVentas[[#This Row],[Precio Unitario]]*TablaVentas[[#This Row],[Cantidad]]</f>
        <v>286.39999999999998</v>
      </c>
      <c r="J254" s="1">
        <f>TablaVentas[[#This Row],[Costo Unitario]]*TablaVentas[[#This Row],[Cantidad]]</f>
        <v>190.87</v>
      </c>
      <c r="K254" s="1">
        <f>TablaVentas[[#This Row],[Total Venta]]-TablaVentas[[#This Row],[Total Costo]]</f>
        <v>95.529999999999973</v>
      </c>
    </row>
    <row r="255" spans="1:11" x14ac:dyDescent="0.25">
      <c r="A255" s="2">
        <v>45095</v>
      </c>
      <c r="B255" s="1" t="s">
        <v>8</v>
      </c>
      <c r="C255" s="1" t="s">
        <v>9</v>
      </c>
      <c r="D255" s="1" t="s">
        <v>24</v>
      </c>
      <c r="E255" s="1" t="s">
        <v>15</v>
      </c>
      <c r="F255" s="1">
        <v>6</v>
      </c>
      <c r="G255" s="1">
        <v>677.83</v>
      </c>
      <c r="H255" s="1">
        <v>466.15</v>
      </c>
      <c r="I255" s="1">
        <f>TablaVentas[[#This Row],[Precio Unitario]]*TablaVentas[[#This Row],[Cantidad]]</f>
        <v>4066.9800000000005</v>
      </c>
      <c r="J255" s="1">
        <f>TablaVentas[[#This Row],[Costo Unitario]]*TablaVentas[[#This Row],[Cantidad]]</f>
        <v>2796.8999999999996</v>
      </c>
      <c r="K255" s="1">
        <f>TablaVentas[[#This Row],[Total Venta]]-TablaVentas[[#This Row],[Total Costo]]</f>
        <v>1270.0800000000008</v>
      </c>
    </row>
    <row r="256" spans="1:11" x14ac:dyDescent="0.25">
      <c r="A256" s="2">
        <v>45095</v>
      </c>
      <c r="B256" s="1" t="s">
        <v>34</v>
      </c>
      <c r="C256" s="1" t="s">
        <v>13</v>
      </c>
      <c r="D256" s="1" t="s">
        <v>25</v>
      </c>
      <c r="E256" s="1" t="s">
        <v>20</v>
      </c>
      <c r="F256" s="1">
        <v>2</v>
      </c>
      <c r="G256" s="1">
        <v>285.63</v>
      </c>
      <c r="H256" s="1">
        <v>200.84</v>
      </c>
      <c r="I256" s="1">
        <f>TablaVentas[[#This Row],[Precio Unitario]]*TablaVentas[[#This Row],[Cantidad]]</f>
        <v>571.26</v>
      </c>
      <c r="J256" s="1">
        <f>TablaVentas[[#This Row],[Costo Unitario]]*TablaVentas[[#This Row],[Cantidad]]</f>
        <v>401.68</v>
      </c>
      <c r="K256" s="1">
        <f>TablaVentas[[#This Row],[Total Venta]]-TablaVentas[[#This Row],[Total Costo]]</f>
        <v>169.57999999999998</v>
      </c>
    </row>
    <row r="257" spans="1:11" x14ac:dyDescent="0.25">
      <c r="A257" s="2">
        <v>45095</v>
      </c>
      <c r="B257" s="1" t="s">
        <v>23</v>
      </c>
      <c r="C257" s="1" t="s">
        <v>9</v>
      </c>
      <c r="D257" s="1" t="s">
        <v>25</v>
      </c>
      <c r="E257" s="1" t="s">
        <v>15</v>
      </c>
      <c r="F257" s="1">
        <v>8</v>
      </c>
      <c r="G257" s="1">
        <v>85.11</v>
      </c>
      <c r="H257" s="1">
        <v>42.89</v>
      </c>
      <c r="I257" s="1">
        <f>TablaVentas[[#This Row],[Precio Unitario]]*TablaVentas[[#This Row],[Cantidad]]</f>
        <v>680.88</v>
      </c>
      <c r="J257" s="1">
        <f>TablaVentas[[#This Row],[Costo Unitario]]*TablaVentas[[#This Row],[Cantidad]]</f>
        <v>343.12</v>
      </c>
      <c r="K257" s="1">
        <f>TablaVentas[[#This Row],[Total Venta]]-TablaVentas[[#This Row],[Total Costo]]</f>
        <v>337.76</v>
      </c>
    </row>
    <row r="258" spans="1:11" x14ac:dyDescent="0.25">
      <c r="A258" s="2">
        <v>45096</v>
      </c>
      <c r="B258" s="1" t="s">
        <v>16</v>
      </c>
      <c r="C258" s="1" t="s">
        <v>13</v>
      </c>
      <c r="D258" s="1" t="s">
        <v>17</v>
      </c>
      <c r="E258" s="1" t="s">
        <v>20</v>
      </c>
      <c r="F258" s="1">
        <v>5</v>
      </c>
      <c r="G258" s="1">
        <v>59.45</v>
      </c>
      <c r="H258" s="1">
        <v>37.340000000000003</v>
      </c>
      <c r="I258" s="1">
        <f>TablaVentas[[#This Row],[Precio Unitario]]*TablaVentas[[#This Row],[Cantidad]]</f>
        <v>297.25</v>
      </c>
      <c r="J258" s="1">
        <f>TablaVentas[[#This Row],[Costo Unitario]]*TablaVentas[[#This Row],[Cantidad]]</f>
        <v>186.70000000000002</v>
      </c>
      <c r="K258" s="1">
        <f>TablaVentas[[#This Row],[Total Venta]]-TablaVentas[[#This Row],[Total Costo]]</f>
        <v>110.54999999999998</v>
      </c>
    </row>
    <row r="259" spans="1:11" x14ac:dyDescent="0.25">
      <c r="A259" s="2">
        <v>45096</v>
      </c>
      <c r="B259" s="1" t="s">
        <v>34</v>
      </c>
      <c r="C259" s="1" t="s">
        <v>13</v>
      </c>
      <c r="D259" s="1" t="s">
        <v>24</v>
      </c>
      <c r="E259" s="1" t="s">
        <v>11</v>
      </c>
      <c r="F259" s="1">
        <v>3</v>
      </c>
      <c r="G259" s="1">
        <v>244.97</v>
      </c>
      <c r="H259" s="1">
        <v>189.36</v>
      </c>
      <c r="I259" s="1">
        <f>TablaVentas[[#This Row],[Precio Unitario]]*TablaVentas[[#This Row],[Cantidad]]</f>
        <v>734.91</v>
      </c>
      <c r="J259" s="1">
        <f>TablaVentas[[#This Row],[Costo Unitario]]*TablaVentas[[#This Row],[Cantidad]]</f>
        <v>568.08000000000004</v>
      </c>
      <c r="K259" s="1">
        <f>TablaVentas[[#This Row],[Total Venta]]-TablaVentas[[#This Row],[Total Costo]]</f>
        <v>166.82999999999993</v>
      </c>
    </row>
    <row r="260" spans="1:11" x14ac:dyDescent="0.25">
      <c r="A260" s="2">
        <v>45097</v>
      </c>
      <c r="B260" s="1" t="s">
        <v>12</v>
      </c>
      <c r="C260" s="1" t="s">
        <v>13</v>
      </c>
      <c r="D260" s="1" t="s">
        <v>31</v>
      </c>
      <c r="E260" s="1" t="s">
        <v>11</v>
      </c>
      <c r="F260" s="1">
        <v>1</v>
      </c>
      <c r="G260" s="1">
        <v>59.85</v>
      </c>
      <c r="H260" s="1">
        <v>41.11</v>
      </c>
      <c r="I260" s="1">
        <f>TablaVentas[[#This Row],[Precio Unitario]]*TablaVentas[[#This Row],[Cantidad]]</f>
        <v>59.85</v>
      </c>
      <c r="J260" s="1">
        <f>TablaVentas[[#This Row],[Costo Unitario]]*TablaVentas[[#This Row],[Cantidad]]</f>
        <v>41.11</v>
      </c>
      <c r="K260" s="1">
        <f>TablaVentas[[#This Row],[Total Venta]]-TablaVentas[[#This Row],[Total Costo]]</f>
        <v>18.740000000000002</v>
      </c>
    </row>
    <row r="261" spans="1:11" x14ac:dyDescent="0.25">
      <c r="A261" s="2">
        <v>45098</v>
      </c>
      <c r="B261" s="1" t="s">
        <v>18</v>
      </c>
      <c r="C261" s="1" t="s">
        <v>19</v>
      </c>
      <c r="D261" s="1" t="s">
        <v>33</v>
      </c>
      <c r="E261" s="1" t="s">
        <v>11</v>
      </c>
      <c r="F261" s="1">
        <v>6</v>
      </c>
      <c r="G261" s="1">
        <v>1317.14</v>
      </c>
      <c r="H261" s="1">
        <v>775.71</v>
      </c>
      <c r="I261" s="1">
        <f>TablaVentas[[#This Row],[Precio Unitario]]*TablaVentas[[#This Row],[Cantidad]]</f>
        <v>7902.84</v>
      </c>
      <c r="J261" s="1">
        <f>TablaVentas[[#This Row],[Costo Unitario]]*TablaVentas[[#This Row],[Cantidad]]</f>
        <v>4654.26</v>
      </c>
      <c r="K261" s="1">
        <f>TablaVentas[[#This Row],[Total Venta]]-TablaVentas[[#This Row],[Total Costo]]</f>
        <v>3248.58</v>
      </c>
    </row>
    <row r="262" spans="1:11" x14ac:dyDescent="0.25">
      <c r="A262" s="2">
        <v>45098</v>
      </c>
      <c r="B262" s="1" t="s">
        <v>26</v>
      </c>
      <c r="C262" s="1" t="s">
        <v>19</v>
      </c>
      <c r="D262" s="1" t="s">
        <v>33</v>
      </c>
      <c r="E262" s="1" t="s">
        <v>20</v>
      </c>
      <c r="F262" s="1">
        <v>9</v>
      </c>
      <c r="G262" s="1">
        <v>49.55</v>
      </c>
      <c r="H262" s="1">
        <v>25.18</v>
      </c>
      <c r="I262" s="1">
        <f>TablaVentas[[#This Row],[Precio Unitario]]*TablaVentas[[#This Row],[Cantidad]]</f>
        <v>445.95</v>
      </c>
      <c r="J262" s="1">
        <f>TablaVentas[[#This Row],[Costo Unitario]]*TablaVentas[[#This Row],[Cantidad]]</f>
        <v>226.62</v>
      </c>
      <c r="K262" s="1">
        <f>TablaVentas[[#This Row],[Total Venta]]-TablaVentas[[#This Row],[Total Costo]]</f>
        <v>219.32999999999998</v>
      </c>
    </row>
    <row r="263" spans="1:11" x14ac:dyDescent="0.25">
      <c r="A263" s="2">
        <v>45098</v>
      </c>
      <c r="B263" s="1" t="s">
        <v>18</v>
      </c>
      <c r="C263" s="1" t="s">
        <v>19</v>
      </c>
      <c r="D263" s="1" t="s">
        <v>10</v>
      </c>
      <c r="E263" s="1" t="s">
        <v>11</v>
      </c>
      <c r="F263" s="1">
        <v>5</v>
      </c>
      <c r="G263" s="1">
        <v>1190.5899999999999</v>
      </c>
      <c r="H263" s="1">
        <v>774.49</v>
      </c>
      <c r="I263" s="1">
        <f>TablaVentas[[#This Row],[Precio Unitario]]*TablaVentas[[#This Row],[Cantidad]]</f>
        <v>5952.95</v>
      </c>
      <c r="J263" s="1">
        <f>TablaVentas[[#This Row],[Costo Unitario]]*TablaVentas[[#This Row],[Cantidad]]</f>
        <v>3872.45</v>
      </c>
      <c r="K263" s="1">
        <f>TablaVentas[[#This Row],[Total Venta]]-TablaVentas[[#This Row],[Total Costo]]</f>
        <v>2080.5</v>
      </c>
    </row>
    <row r="264" spans="1:11" x14ac:dyDescent="0.25">
      <c r="A264" s="2">
        <v>45100</v>
      </c>
      <c r="B264" s="1" t="s">
        <v>21</v>
      </c>
      <c r="C264" s="1" t="s">
        <v>19</v>
      </c>
      <c r="D264" s="1" t="s">
        <v>31</v>
      </c>
      <c r="E264" s="1" t="s">
        <v>28</v>
      </c>
      <c r="F264" s="1">
        <v>9</v>
      </c>
      <c r="G264" s="1">
        <v>84.52</v>
      </c>
      <c r="H264" s="1">
        <v>51.17</v>
      </c>
      <c r="I264" s="1">
        <f>TablaVentas[[#This Row],[Precio Unitario]]*TablaVentas[[#This Row],[Cantidad]]</f>
        <v>760.68</v>
      </c>
      <c r="J264" s="1">
        <f>TablaVentas[[#This Row],[Costo Unitario]]*TablaVentas[[#This Row],[Cantidad]]</f>
        <v>460.53000000000003</v>
      </c>
      <c r="K264" s="1">
        <f>TablaVentas[[#This Row],[Total Venta]]-TablaVentas[[#This Row],[Total Costo]]</f>
        <v>300.14999999999992</v>
      </c>
    </row>
    <row r="265" spans="1:11" x14ac:dyDescent="0.25">
      <c r="A265" s="2">
        <v>45100</v>
      </c>
      <c r="B265" s="1" t="s">
        <v>23</v>
      </c>
      <c r="C265" s="1" t="s">
        <v>9</v>
      </c>
      <c r="D265" s="1" t="s">
        <v>10</v>
      </c>
      <c r="E265" s="1" t="s">
        <v>15</v>
      </c>
      <c r="F265" s="1">
        <v>10</v>
      </c>
      <c r="G265" s="1">
        <v>82.12</v>
      </c>
      <c r="H265" s="1">
        <v>46.44</v>
      </c>
      <c r="I265" s="1">
        <f>TablaVentas[[#This Row],[Precio Unitario]]*TablaVentas[[#This Row],[Cantidad]]</f>
        <v>821.2</v>
      </c>
      <c r="J265" s="1">
        <f>TablaVentas[[#This Row],[Costo Unitario]]*TablaVentas[[#This Row],[Cantidad]]</f>
        <v>464.4</v>
      </c>
      <c r="K265" s="1">
        <f>TablaVentas[[#This Row],[Total Venta]]-TablaVentas[[#This Row],[Total Costo]]</f>
        <v>356.80000000000007</v>
      </c>
    </row>
    <row r="266" spans="1:11" x14ac:dyDescent="0.25">
      <c r="A266" s="2">
        <v>45100</v>
      </c>
      <c r="B266" s="1" t="s">
        <v>12</v>
      </c>
      <c r="C266" s="1" t="s">
        <v>13</v>
      </c>
      <c r="D266" s="1" t="s">
        <v>17</v>
      </c>
      <c r="E266" s="1" t="s">
        <v>28</v>
      </c>
      <c r="F266" s="1">
        <v>8</v>
      </c>
      <c r="G266" s="1">
        <v>55.79</v>
      </c>
      <c r="H266" s="1">
        <v>39.630000000000003</v>
      </c>
      <c r="I266" s="1">
        <f>TablaVentas[[#This Row],[Precio Unitario]]*TablaVentas[[#This Row],[Cantidad]]</f>
        <v>446.32</v>
      </c>
      <c r="J266" s="1">
        <f>TablaVentas[[#This Row],[Costo Unitario]]*TablaVentas[[#This Row],[Cantidad]]</f>
        <v>317.04000000000002</v>
      </c>
      <c r="K266" s="1">
        <f>TablaVentas[[#This Row],[Total Venta]]-TablaVentas[[#This Row],[Total Costo]]</f>
        <v>129.27999999999997</v>
      </c>
    </row>
    <row r="267" spans="1:11" x14ac:dyDescent="0.25">
      <c r="A267" s="2">
        <v>45100</v>
      </c>
      <c r="B267" s="1" t="s">
        <v>34</v>
      </c>
      <c r="C267" s="1" t="s">
        <v>13</v>
      </c>
      <c r="D267" s="1" t="s">
        <v>27</v>
      </c>
      <c r="E267" s="1" t="s">
        <v>11</v>
      </c>
      <c r="F267" s="1">
        <v>4</v>
      </c>
      <c r="G267" s="1">
        <v>243.38</v>
      </c>
      <c r="H267" s="1">
        <v>194.11</v>
      </c>
      <c r="I267" s="1">
        <f>TablaVentas[[#This Row],[Precio Unitario]]*TablaVentas[[#This Row],[Cantidad]]</f>
        <v>973.52</v>
      </c>
      <c r="J267" s="1">
        <f>TablaVentas[[#This Row],[Costo Unitario]]*TablaVentas[[#This Row],[Cantidad]]</f>
        <v>776.44</v>
      </c>
      <c r="K267" s="1">
        <f>TablaVentas[[#This Row],[Total Venta]]-TablaVentas[[#This Row],[Total Costo]]</f>
        <v>197.07999999999993</v>
      </c>
    </row>
    <row r="268" spans="1:11" x14ac:dyDescent="0.25">
      <c r="A268" s="2">
        <v>45101</v>
      </c>
      <c r="B268" s="1" t="s">
        <v>23</v>
      </c>
      <c r="C268" s="1" t="s">
        <v>9</v>
      </c>
      <c r="D268" s="1" t="s">
        <v>14</v>
      </c>
      <c r="E268" s="1" t="s">
        <v>22</v>
      </c>
      <c r="F268" s="1">
        <v>5</v>
      </c>
      <c r="G268" s="1">
        <v>65.03</v>
      </c>
      <c r="H268" s="1">
        <v>48.4</v>
      </c>
      <c r="I268" s="1">
        <f>TablaVentas[[#This Row],[Precio Unitario]]*TablaVentas[[#This Row],[Cantidad]]</f>
        <v>325.14999999999998</v>
      </c>
      <c r="J268" s="1">
        <f>TablaVentas[[#This Row],[Costo Unitario]]*TablaVentas[[#This Row],[Cantidad]]</f>
        <v>242</v>
      </c>
      <c r="K268" s="1">
        <f>TablaVentas[[#This Row],[Total Venta]]-TablaVentas[[#This Row],[Total Costo]]</f>
        <v>83.149999999999977</v>
      </c>
    </row>
    <row r="269" spans="1:11" x14ac:dyDescent="0.25">
      <c r="A269" s="2">
        <v>45101</v>
      </c>
      <c r="B269" s="1" t="s">
        <v>16</v>
      </c>
      <c r="C269" s="1" t="s">
        <v>13</v>
      </c>
      <c r="D269" s="1" t="s">
        <v>24</v>
      </c>
      <c r="E269" s="1" t="s">
        <v>22</v>
      </c>
      <c r="F269" s="1">
        <v>1</v>
      </c>
      <c r="G269" s="1">
        <v>57.08</v>
      </c>
      <c r="H269" s="1">
        <v>35.869999999999997</v>
      </c>
      <c r="I269" s="1">
        <f>TablaVentas[[#This Row],[Precio Unitario]]*TablaVentas[[#This Row],[Cantidad]]</f>
        <v>57.08</v>
      </c>
      <c r="J269" s="1">
        <f>TablaVentas[[#This Row],[Costo Unitario]]*TablaVentas[[#This Row],[Cantidad]]</f>
        <v>35.869999999999997</v>
      </c>
      <c r="K269" s="1">
        <f>TablaVentas[[#This Row],[Total Venta]]-TablaVentas[[#This Row],[Total Costo]]</f>
        <v>21.21</v>
      </c>
    </row>
    <row r="270" spans="1:11" x14ac:dyDescent="0.25">
      <c r="A270" s="2">
        <v>45101</v>
      </c>
      <c r="B270" s="1" t="s">
        <v>29</v>
      </c>
      <c r="C270" s="1" t="s">
        <v>30</v>
      </c>
      <c r="D270" s="1" t="s">
        <v>24</v>
      </c>
      <c r="E270" s="1" t="s">
        <v>28</v>
      </c>
      <c r="F270" s="1">
        <v>8</v>
      </c>
      <c r="G270" s="1">
        <v>513.89</v>
      </c>
      <c r="H270" s="1">
        <v>293.60000000000002</v>
      </c>
      <c r="I270" s="1">
        <f>TablaVentas[[#This Row],[Precio Unitario]]*TablaVentas[[#This Row],[Cantidad]]</f>
        <v>4111.12</v>
      </c>
      <c r="J270" s="1">
        <f>TablaVentas[[#This Row],[Costo Unitario]]*TablaVentas[[#This Row],[Cantidad]]</f>
        <v>2348.8000000000002</v>
      </c>
      <c r="K270" s="1">
        <f>TablaVentas[[#This Row],[Total Venta]]-TablaVentas[[#This Row],[Total Costo]]</f>
        <v>1762.3199999999997</v>
      </c>
    </row>
    <row r="271" spans="1:11" x14ac:dyDescent="0.25">
      <c r="A271" s="2">
        <v>45103</v>
      </c>
      <c r="B271" s="1" t="s">
        <v>34</v>
      </c>
      <c r="C271" s="1" t="s">
        <v>13</v>
      </c>
      <c r="D271" s="1" t="s">
        <v>10</v>
      </c>
      <c r="E271" s="1" t="s">
        <v>28</v>
      </c>
      <c r="F271" s="1">
        <v>8</v>
      </c>
      <c r="G271" s="1">
        <v>309.68</v>
      </c>
      <c r="H271" s="1">
        <v>200.9</v>
      </c>
      <c r="I271" s="1">
        <f>TablaVentas[[#This Row],[Precio Unitario]]*TablaVentas[[#This Row],[Cantidad]]</f>
        <v>2477.44</v>
      </c>
      <c r="J271" s="1">
        <f>TablaVentas[[#This Row],[Costo Unitario]]*TablaVentas[[#This Row],[Cantidad]]</f>
        <v>1607.2</v>
      </c>
      <c r="K271" s="1">
        <f>TablaVentas[[#This Row],[Total Venta]]-TablaVentas[[#This Row],[Total Costo]]</f>
        <v>870.24</v>
      </c>
    </row>
    <row r="272" spans="1:11" x14ac:dyDescent="0.25">
      <c r="A272" s="2">
        <v>45104</v>
      </c>
      <c r="B272" s="1" t="s">
        <v>34</v>
      </c>
      <c r="C272" s="1" t="s">
        <v>13</v>
      </c>
      <c r="D272" s="1" t="s">
        <v>24</v>
      </c>
      <c r="E272" s="1" t="s">
        <v>11</v>
      </c>
      <c r="F272" s="1">
        <v>7</v>
      </c>
      <c r="G272" s="1">
        <v>304.48</v>
      </c>
      <c r="H272" s="1">
        <v>172.35</v>
      </c>
      <c r="I272" s="1">
        <f>TablaVentas[[#This Row],[Precio Unitario]]*TablaVentas[[#This Row],[Cantidad]]</f>
        <v>2131.36</v>
      </c>
      <c r="J272" s="1">
        <f>TablaVentas[[#This Row],[Costo Unitario]]*TablaVentas[[#This Row],[Cantidad]]</f>
        <v>1206.45</v>
      </c>
      <c r="K272" s="1">
        <f>TablaVentas[[#This Row],[Total Venta]]-TablaVentas[[#This Row],[Total Costo]]</f>
        <v>924.91000000000008</v>
      </c>
    </row>
    <row r="273" spans="1:11" x14ac:dyDescent="0.25">
      <c r="A273" s="2">
        <v>45104</v>
      </c>
      <c r="B273" s="1" t="s">
        <v>18</v>
      </c>
      <c r="C273" s="1" t="s">
        <v>19</v>
      </c>
      <c r="D273" s="1" t="s">
        <v>31</v>
      </c>
      <c r="E273" s="1" t="s">
        <v>22</v>
      </c>
      <c r="F273" s="1">
        <v>8</v>
      </c>
      <c r="G273" s="1">
        <v>1230.28</v>
      </c>
      <c r="H273" s="1">
        <v>807.11</v>
      </c>
      <c r="I273" s="1">
        <f>TablaVentas[[#This Row],[Precio Unitario]]*TablaVentas[[#This Row],[Cantidad]]</f>
        <v>9842.24</v>
      </c>
      <c r="J273" s="1">
        <f>TablaVentas[[#This Row],[Costo Unitario]]*TablaVentas[[#This Row],[Cantidad]]</f>
        <v>6456.88</v>
      </c>
      <c r="K273" s="1">
        <f>TablaVentas[[#This Row],[Total Venta]]-TablaVentas[[#This Row],[Total Costo]]</f>
        <v>3385.3599999999997</v>
      </c>
    </row>
    <row r="274" spans="1:11" x14ac:dyDescent="0.25">
      <c r="A274" s="2">
        <v>45104</v>
      </c>
      <c r="B274" s="1" t="s">
        <v>34</v>
      </c>
      <c r="C274" s="1" t="s">
        <v>13</v>
      </c>
      <c r="D274" s="1" t="s">
        <v>25</v>
      </c>
      <c r="E274" s="1" t="s">
        <v>28</v>
      </c>
      <c r="F274" s="1">
        <v>10</v>
      </c>
      <c r="G274" s="1">
        <v>306.08999999999997</v>
      </c>
      <c r="H274" s="1">
        <v>176.21</v>
      </c>
      <c r="I274" s="1">
        <f>TablaVentas[[#This Row],[Precio Unitario]]*TablaVentas[[#This Row],[Cantidad]]</f>
        <v>3060.8999999999996</v>
      </c>
      <c r="J274" s="1">
        <f>TablaVentas[[#This Row],[Costo Unitario]]*TablaVentas[[#This Row],[Cantidad]]</f>
        <v>1762.1000000000001</v>
      </c>
      <c r="K274" s="1">
        <f>TablaVentas[[#This Row],[Total Venta]]-TablaVentas[[#This Row],[Total Costo]]</f>
        <v>1298.7999999999995</v>
      </c>
    </row>
    <row r="275" spans="1:11" x14ac:dyDescent="0.25">
      <c r="A275" s="2">
        <v>45107</v>
      </c>
      <c r="B275" s="1" t="s">
        <v>32</v>
      </c>
      <c r="C275" s="1" t="s">
        <v>30</v>
      </c>
      <c r="D275" s="1" t="s">
        <v>31</v>
      </c>
      <c r="E275" s="1" t="s">
        <v>15</v>
      </c>
      <c r="F275" s="1">
        <v>10</v>
      </c>
      <c r="G275" s="1">
        <v>342.44</v>
      </c>
      <c r="H275" s="1">
        <v>206.96</v>
      </c>
      <c r="I275" s="1">
        <f>TablaVentas[[#This Row],[Precio Unitario]]*TablaVentas[[#This Row],[Cantidad]]</f>
        <v>3424.4</v>
      </c>
      <c r="J275" s="1">
        <f>TablaVentas[[#This Row],[Costo Unitario]]*TablaVentas[[#This Row],[Cantidad]]</f>
        <v>2069.6</v>
      </c>
      <c r="K275" s="1">
        <f>TablaVentas[[#This Row],[Total Venta]]-TablaVentas[[#This Row],[Total Costo]]</f>
        <v>1354.8000000000002</v>
      </c>
    </row>
    <row r="276" spans="1:11" x14ac:dyDescent="0.25">
      <c r="A276" s="2">
        <v>45107</v>
      </c>
      <c r="B276" s="1" t="s">
        <v>16</v>
      </c>
      <c r="C276" s="1" t="s">
        <v>13</v>
      </c>
      <c r="D276" s="1" t="s">
        <v>24</v>
      </c>
      <c r="E276" s="1" t="s">
        <v>20</v>
      </c>
      <c r="F276" s="1">
        <v>5</v>
      </c>
      <c r="G276" s="1">
        <v>51.1</v>
      </c>
      <c r="H276" s="1">
        <v>31.87</v>
      </c>
      <c r="I276" s="1">
        <f>TablaVentas[[#This Row],[Precio Unitario]]*TablaVentas[[#This Row],[Cantidad]]</f>
        <v>255.5</v>
      </c>
      <c r="J276" s="1">
        <f>TablaVentas[[#This Row],[Costo Unitario]]*TablaVentas[[#This Row],[Cantidad]]</f>
        <v>159.35</v>
      </c>
      <c r="K276" s="1">
        <f>TablaVentas[[#This Row],[Total Venta]]-TablaVentas[[#This Row],[Total Costo]]</f>
        <v>96.15</v>
      </c>
    </row>
    <row r="277" spans="1:11" x14ac:dyDescent="0.25">
      <c r="A277" s="2">
        <v>45108</v>
      </c>
      <c r="B277" s="1" t="s">
        <v>8</v>
      </c>
      <c r="C277" s="1" t="s">
        <v>9</v>
      </c>
      <c r="D277" s="1" t="s">
        <v>33</v>
      </c>
      <c r="E277" s="1" t="s">
        <v>28</v>
      </c>
      <c r="F277" s="1">
        <v>4</v>
      </c>
      <c r="G277" s="1">
        <v>621.04999999999995</v>
      </c>
      <c r="H277" s="1">
        <v>507.1</v>
      </c>
      <c r="I277" s="1">
        <f>TablaVentas[[#This Row],[Precio Unitario]]*TablaVentas[[#This Row],[Cantidad]]</f>
        <v>2484.1999999999998</v>
      </c>
      <c r="J277" s="1">
        <f>TablaVentas[[#This Row],[Costo Unitario]]*TablaVentas[[#This Row],[Cantidad]]</f>
        <v>2028.4</v>
      </c>
      <c r="K277" s="1">
        <f>TablaVentas[[#This Row],[Total Venta]]-TablaVentas[[#This Row],[Total Costo]]</f>
        <v>455.79999999999973</v>
      </c>
    </row>
    <row r="278" spans="1:11" x14ac:dyDescent="0.25">
      <c r="A278" s="2">
        <v>45109</v>
      </c>
      <c r="B278" s="1" t="s">
        <v>12</v>
      </c>
      <c r="C278" s="1" t="s">
        <v>13</v>
      </c>
      <c r="D278" s="1" t="s">
        <v>17</v>
      </c>
      <c r="E278" s="1" t="s">
        <v>20</v>
      </c>
      <c r="F278" s="1">
        <v>7</v>
      </c>
      <c r="G278" s="1">
        <v>64.88</v>
      </c>
      <c r="H278" s="1">
        <v>41.99</v>
      </c>
      <c r="I278" s="1">
        <f>TablaVentas[[#This Row],[Precio Unitario]]*TablaVentas[[#This Row],[Cantidad]]</f>
        <v>454.15999999999997</v>
      </c>
      <c r="J278" s="1">
        <f>TablaVentas[[#This Row],[Costo Unitario]]*TablaVentas[[#This Row],[Cantidad]]</f>
        <v>293.93</v>
      </c>
      <c r="K278" s="1">
        <f>TablaVentas[[#This Row],[Total Venta]]-TablaVentas[[#This Row],[Total Costo]]</f>
        <v>160.22999999999996</v>
      </c>
    </row>
    <row r="279" spans="1:11" x14ac:dyDescent="0.25">
      <c r="A279" s="2">
        <v>45110</v>
      </c>
      <c r="B279" s="1" t="s">
        <v>12</v>
      </c>
      <c r="C279" s="1" t="s">
        <v>13</v>
      </c>
      <c r="D279" s="1" t="s">
        <v>17</v>
      </c>
      <c r="E279" s="1" t="s">
        <v>20</v>
      </c>
      <c r="F279" s="1">
        <v>5</v>
      </c>
      <c r="G279" s="1">
        <v>67.2</v>
      </c>
      <c r="H279" s="1">
        <v>42.82</v>
      </c>
      <c r="I279" s="1">
        <f>TablaVentas[[#This Row],[Precio Unitario]]*TablaVentas[[#This Row],[Cantidad]]</f>
        <v>336</v>
      </c>
      <c r="J279" s="1">
        <f>TablaVentas[[#This Row],[Costo Unitario]]*TablaVentas[[#This Row],[Cantidad]]</f>
        <v>214.1</v>
      </c>
      <c r="K279" s="1">
        <f>TablaVentas[[#This Row],[Total Venta]]-TablaVentas[[#This Row],[Total Costo]]</f>
        <v>121.9</v>
      </c>
    </row>
    <row r="280" spans="1:11" x14ac:dyDescent="0.25">
      <c r="A280" s="2">
        <v>45110</v>
      </c>
      <c r="B280" s="1" t="s">
        <v>23</v>
      </c>
      <c r="C280" s="1" t="s">
        <v>9</v>
      </c>
      <c r="D280" s="1" t="s">
        <v>25</v>
      </c>
      <c r="E280" s="1" t="s">
        <v>28</v>
      </c>
      <c r="F280" s="1">
        <v>9</v>
      </c>
      <c r="G280" s="1">
        <v>68.260000000000005</v>
      </c>
      <c r="H280" s="1">
        <v>42.49</v>
      </c>
      <c r="I280" s="1">
        <f>TablaVentas[[#This Row],[Precio Unitario]]*TablaVentas[[#This Row],[Cantidad]]</f>
        <v>614.34</v>
      </c>
      <c r="J280" s="1">
        <f>TablaVentas[[#This Row],[Costo Unitario]]*TablaVentas[[#This Row],[Cantidad]]</f>
        <v>382.41</v>
      </c>
      <c r="K280" s="1">
        <f>TablaVentas[[#This Row],[Total Venta]]-TablaVentas[[#This Row],[Total Costo]]</f>
        <v>231.93</v>
      </c>
    </row>
    <row r="281" spans="1:11" x14ac:dyDescent="0.25">
      <c r="A281" s="2">
        <v>45112</v>
      </c>
      <c r="B281" s="1" t="s">
        <v>32</v>
      </c>
      <c r="C281" s="1" t="s">
        <v>30</v>
      </c>
      <c r="D281" s="1" t="s">
        <v>24</v>
      </c>
      <c r="E281" s="1" t="s">
        <v>11</v>
      </c>
      <c r="F281" s="1">
        <v>3</v>
      </c>
      <c r="G281" s="1">
        <v>279.82</v>
      </c>
      <c r="H281" s="1">
        <v>201.79</v>
      </c>
      <c r="I281" s="1">
        <f>TablaVentas[[#This Row],[Precio Unitario]]*TablaVentas[[#This Row],[Cantidad]]</f>
        <v>839.46</v>
      </c>
      <c r="J281" s="1">
        <f>TablaVentas[[#This Row],[Costo Unitario]]*TablaVentas[[#This Row],[Cantidad]]</f>
        <v>605.37</v>
      </c>
      <c r="K281" s="1">
        <f>TablaVentas[[#This Row],[Total Venta]]-TablaVentas[[#This Row],[Total Costo]]</f>
        <v>234.09000000000003</v>
      </c>
    </row>
    <row r="282" spans="1:11" x14ac:dyDescent="0.25">
      <c r="A282" s="2">
        <v>45113</v>
      </c>
      <c r="B282" s="1" t="s">
        <v>26</v>
      </c>
      <c r="C282" s="1" t="s">
        <v>19</v>
      </c>
      <c r="D282" s="1" t="s">
        <v>25</v>
      </c>
      <c r="E282" s="1" t="s">
        <v>22</v>
      </c>
      <c r="F282" s="1">
        <v>2</v>
      </c>
      <c r="G282" s="1">
        <v>40.28</v>
      </c>
      <c r="H282" s="1">
        <v>27.17</v>
      </c>
      <c r="I282" s="1">
        <f>TablaVentas[[#This Row],[Precio Unitario]]*TablaVentas[[#This Row],[Cantidad]]</f>
        <v>80.56</v>
      </c>
      <c r="J282" s="1">
        <f>TablaVentas[[#This Row],[Costo Unitario]]*TablaVentas[[#This Row],[Cantidad]]</f>
        <v>54.34</v>
      </c>
      <c r="K282" s="1">
        <f>TablaVentas[[#This Row],[Total Venta]]-TablaVentas[[#This Row],[Total Costo]]</f>
        <v>26.22</v>
      </c>
    </row>
    <row r="283" spans="1:11" x14ac:dyDescent="0.25">
      <c r="A283" s="2">
        <v>45113</v>
      </c>
      <c r="B283" s="1" t="s">
        <v>34</v>
      </c>
      <c r="C283" s="1" t="s">
        <v>13</v>
      </c>
      <c r="D283" s="1" t="s">
        <v>14</v>
      </c>
      <c r="E283" s="1" t="s">
        <v>22</v>
      </c>
      <c r="F283" s="1">
        <v>4</v>
      </c>
      <c r="G283" s="1">
        <v>265.73</v>
      </c>
      <c r="H283" s="1">
        <v>207.8</v>
      </c>
      <c r="I283" s="1">
        <f>TablaVentas[[#This Row],[Precio Unitario]]*TablaVentas[[#This Row],[Cantidad]]</f>
        <v>1062.92</v>
      </c>
      <c r="J283" s="1">
        <f>TablaVentas[[#This Row],[Costo Unitario]]*TablaVentas[[#This Row],[Cantidad]]</f>
        <v>831.2</v>
      </c>
      <c r="K283" s="1">
        <f>TablaVentas[[#This Row],[Total Venta]]-TablaVentas[[#This Row],[Total Costo]]</f>
        <v>231.72000000000003</v>
      </c>
    </row>
    <row r="284" spans="1:11" x14ac:dyDescent="0.25">
      <c r="A284" s="2">
        <v>45115</v>
      </c>
      <c r="B284" s="1" t="s">
        <v>8</v>
      </c>
      <c r="C284" s="1" t="s">
        <v>9</v>
      </c>
      <c r="D284" s="1" t="s">
        <v>10</v>
      </c>
      <c r="E284" s="1" t="s">
        <v>20</v>
      </c>
      <c r="F284" s="1">
        <v>3</v>
      </c>
      <c r="G284" s="1">
        <v>662.83</v>
      </c>
      <c r="H284" s="1">
        <v>465.65</v>
      </c>
      <c r="I284" s="1">
        <f>TablaVentas[[#This Row],[Precio Unitario]]*TablaVentas[[#This Row],[Cantidad]]</f>
        <v>1988.4900000000002</v>
      </c>
      <c r="J284" s="1">
        <f>TablaVentas[[#This Row],[Costo Unitario]]*TablaVentas[[#This Row],[Cantidad]]</f>
        <v>1396.9499999999998</v>
      </c>
      <c r="K284" s="1">
        <f>TablaVentas[[#This Row],[Total Venta]]-TablaVentas[[#This Row],[Total Costo]]</f>
        <v>591.54000000000042</v>
      </c>
    </row>
    <row r="285" spans="1:11" x14ac:dyDescent="0.25">
      <c r="A285" s="2">
        <v>45115</v>
      </c>
      <c r="B285" s="1" t="s">
        <v>12</v>
      </c>
      <c r="C285" s="1" t="s">
        <v>13</v>
      </c>
      <c r="D285" s="1" t="s">
        <v>33</v>
      </c>
      <c r="E285" s="1" t="s">
        <v>28</v>
      </c>
      <c r="F285" s="1">
        <v>2</v>
      </c>
      <c r="G285" s="1">
        <v>63.5</v>
      </c>
      <c r="H285" s="1">
        <v>45.6</v>
      </c>
      <c r="I285" s="1">
        <f>TablaVentas[[#This Row],[Precio Unitario]]*TablaVentas[[#This Row],[Cantidad]]</f>
        <v>127</v>
      </c>
      <c r="J285" s="1">
        <f>TablaVentas[[#This Row],[Costo Unitario]]*TablaVentas[[#This Row],[Cantidad]]</f>
        <v>91.2</v>
      </c>
      <c r="K285" s="1">
        <f>TablaVentas[[#This Row],[Total Venta]]-TablaVentas[[#This Row],[Total Costo]]</f>
        <v>35.799999999999997</v>
      </c>
    </row>
    <row r="286" spans="1:11" x14ac:dyDescent="0.25">
      <c r="A286" s="2">
        <v>45115</v>
      </c>
      <c r="B286" s="1" t="s">
        <v>32</v>
      </c>
      <c r="C286" s="1" t="s">
        <v>30</v>
      </c>
      <c r="D286" s="1" t="s">
        <v>31</v>
      </c>
      <c r="E286" s="1" t="s">
        <v>22</v>
      </c>
      <c r="F286" s="1">
        <v>4</v>
      </c>
      <c r="G286" s="1">
        <v>296.49</v>
      </c>
      <c r="H286" s="1">
        <v>204.44</v>
      </c>
      <c r="I286" s="1">
        <f>TablaVentas[[#This Row],[Precio Unitario]]*TablaVentas[[#This Row],[Cantidad]]</f>
        <v>1185.96</v>
      </c>
      <c r="J286" s="1">
        <f>TablaVentas[[#This Row],[Costo Unitario]]*TablaVentas[[#This Row],[Cantidad]]</f>
        <v>817.76</v>
      </c>
      <c r="K286" s="1">
        <f>TablaVentas[[#This Row],[Total Venta]]-TablaVentas[[#This Row],[Total Costo]]</f>
        <v>368.20000000000005</v>
      </c>
    </row>
    <row r="287" spans="1:11" x14ac:dyDescent="0.25">
      <c r="A287" s="2">
        <v>45117</v>
      </c>
      <c r="B287" s="1" t="s">
        <v>26</v>
      </c>
      <c r="C287" s="1" t="s">
        <v>19</v>
      </c>
      <c r="D287" s="1" t="s">
        <v>25</v>
      </c>
      <c r="E287" s="1" t="s">
        <v>22</v>
      </c>
      <c r="F287" s="1">
        <v>1</v>
      </c>
      <c r="G287" s="1">
        <v>46.61</v>
      </c>
      <c r="H287" s="1">
        <v>25.4</v>
      </c>
      <c r="I287" s="1">
        <f>TablaVentas[[#This Row],[Precio Unitario]]*TablaVentas[[#This Row],[Cantidad]]</f>
        <v>46.61</v>
      </c>
      <c r="J287" s="1">
        <f>TablaVentas[[#This Row],[Costo Unitario]]*TablaVentas[[#This Row],[Cantidad]]</f>
        <v>25.4</v>
      </c>
      <c r="K287" s="1">
        <f>TablaVentas[[#This Row],[Total Venta]]-TablaVentas[[#This Row],[Total Costo]]</f>
        <v>21.21</v>
      </c>
    </row>
    <row r="288" spans="1:11" x14ac:dyDescent="0.25">
      <c r="A288" s="2">
        <v>45118</v>
      </c>
      <c r="B288" s="1" t="s">
        <v>12</v>
      </c>
      <c r="C288" s="1" t="s">
        <v>13</v>
      </c>
      <c r="D288" s="1" t="s">
        <v>27</v>
      </c>
      <c r="E288" s="1" t="s">
        <v>11</v>
      </c>
      <c r="F288" s="1">
        <v>6</v>
      </c>
      <c r="G288" s="1">
        <v>67.33</v>
      </c>
      <c r="H288" s="1">
        <v>42.9</v>
      </c>
      <c r="I288" s="1">
        <f>TablaVentas[[#This Row],[Precio Unitario]]*TablaVentas[[#This Row],[Cantidad]]</f>
        <v>403.98</v>
      </c>
      <c r="J288" s="1">
        <f>TablaVentas[[#This Row],[Costo Unitario]]*TablaVentas[[#This Row],[Cantidad]]</f>
        <v>257.39999999999998</v>
      </c>
      <c r="K288" s="1">
        <f>TablaVentas[[#This Row],[Total Venta]]-TablaVentas[[#This Row],[Total Costo]]</f>
        <v>146.58000000000004</v>
      </c>
    </row>
    <row r="289" spans="1:11" x14ac:dyDescent="0.25">
      <c r="A289" s="2">
        <v>45118</v>
      </c>
      <c r="B289" s="1" t="s">
        <v>32</v>
      </c>
      <c r="C289" s="1" t="s">
        <v>30</v>
      </c>
      <c r="D289" s="1" t="s">
        <v>17</v>
      </c>
      <c r="E289" s="1" t="s">
        <v>22</v>
      </c>
      <c r="F289" s="1">
        <v>7</v>
      </c>
      <c r="G289" s="1">
        <v>363.45</v>
      </c>
      <c r="H289" s="1">
        <v>193.19</v>
      </c>
      <c r="I289" s="1">
        <f>TablaVentas[[#This Row],[Precio Unitario]]*TablaVentas[[#This Row],[Cantidad]]</f>
        <v>2544.15</v>
      </c>
      <c r="J289" s="1">
        <f>TablaVentas[[#This Row],[Costo Unitario]]*TablaVentas[[#This Row],[Cantidad]]</f>
        <v>1352.33</v>
      </c>
      <c r="K289" s="1">
        <f>TablaVentas[[#This Row],[Total Venta]]-TablaVentas[[#This Row],[Total Costo]]</f>
        <v>1191.8200000000002</v>
      </c>
    </row>
    <row r="290" spans="1:11" x14ac:dyDescent="0.25">
      <c r="A290" s="2">
        <v>45118</v>
      </c>
      <c r="B290" s="1" t="s">
        <v>34</v>
      </c>
      <c r="C290" s="1" t="s">
        <v>13</v>
      </c>
      <c r="D290" s="1" t="s">
        <v>33</v>
      </c>
      <c r="E290" s="1" t="s">
        <v>11</v>
      </c>
      <c r="F290" s="1">
        <v>5</v>
      </c>
      <c r="G290" s="1">
        <v>306.54000000000002</v>
      </c>
      <c r="H290" s="1">
        <v>207.35</v>
      </c>
      <c r="I290" s="1">
        <f>TablaVentas[[#This Row],[Precio Unitario]]*TablaVentas[[#This Row],[Cantidad]]</f>
        <v>1532.7</v>
      </c>
      <c r="J290" s="1">
        <f>TablaVentas[[#This Row],[Costo Unitario]]*TablaVentas[[#This Row],[Cantidad]]</f>
        <v>1036.75</v>
      </c>
      <c r="K290" s="1">
        <f>TablaVentas[[#This Row],[Total Venta]]-TablaVentas[[#This Row],[Total Costo]]</f>
        <v>495.95000000000005</v>
      </c>
    </row>
    <row r="291" spans="1:11" x14ac:dyDescent="0.25">
      <c r="A291" s="2">
        <v>45119</v>
      </c>
      <c r="B291" s="1" t="s">
        <v>21</v>
      </c>
      <c r="C291" s="1" t="s">
        <v>19</v>
      </c>
      <c r="D291" s="1" t="s">
        <v>17</v>
      </c>
      <c r="E291" s="1" t="s">
        <v>22</v>
      </c>
      <c r="F291" s="1">
        <v>6</v>
      </c>
      <c r="G291" s="1">
        <v>101.98</v>
      </c>
      <c r="H291" s="1">
        <v>56.27</v>
      </c>
      <c r="I291" s="1">
        <f>TablaVentas[[#This Row],[Precio Unitario]]*TablaVentas[[#This Row],[Cantidad]]</f>
        <v>611.88</v>
      </c>
      <c r="J291" s="1">
        <f>TablaVentas[[#This Row],[Costo Unitario]]*TablaVentas[[#This Row],[Cantidad]]</f>
        <v>337.62</v>
      </c>
      <c r="K291" s="1">
        <f>TablaVentas[[#This Row],[Total Venta]]-TablaVentas[[#This Row],[Total Costo]]</f>
        <v>274.26</v>
      </c>
    </row>
    <row r="292" spans="1:11" x14ac:dyDescent="0.25">
      <c r="A292" s="2">
        <v>45120</v>
      </c>
      <c r="B292" s="1" t="s">
        <v>18</v>
      </c>
      <c r="C292" s="1" t="s">
        <v>19</v>
      </c>
      <c r="D292" s="1" t="s">
        <v>17</v>
      </c>
      <c r="E292" s="1" t="s">
        <v>20</v>
      </c>
      <c r="F292" s="1">
        <v>10</v>
      </c>
      <c r="G292" s="1">
        <v>1144.42</v>
      </c>
      <c r="H292" s="1">
        <v>879.87</v>
      </c>
      <c r="I292" s="1">
        <f>TablaVentas[[#This Row],[Precio Unitario]]*TablaVentas[[#This Row],[Cantidad]]</f>
        <v>11444.2</v>
      </c>
      <c r="J292" s="1">
        <f>TablaVentas[[#This Row],[Costo Unitario]]*TablaVentas[[#This Row],[Cantidad]]</f>
        <v>8798.7000000000007</v>
      </c>
      <c r="K292" s="1">
        <f>TablaVentas[[#This Row],[Total Venta]]-TablaVentas[[#This Row],[Total Costo]]</f>
        <v>2645.5</v>
      </c>
    </row>
    <row r="293" spans="1:11" x14ac:dyDescent="0.25">
      <c r="A293" s="2">
        <v>45122</v>
      </c>
      <c r="B293" s="1" t="s">
        <v>21</v>
      </c>
      <c r="C293" s="1" t="s">
        <v>19</v>
      </c>
      <c r="D293" s="1" t="s">
        <v>14</v>
      </c>
      <c r="E293" s="1" t="s">
        <v>28</v>
      </c>
      <c r="F293" s="1">
        <v>2</v>
      </c>
      <c r="G293" s="1">
        <v>94.46</v>
      </c>
      <c r="H293" s="1">
        <v>48.35</v>
      </c>
      <c r="I293" s="1">
        <f>TablaVentas[[#This Row],[Precio Unitario]]*TablaVentas[[#This Row],[Cantidad]]</f>
        <v>188.92</v>
      </c>
      <c r="J293" s="1">
        <f>TablaVentas[[#This Row],[Costo Unitario]]*TablaVentas[[#This Row],[Cantidad]]</f>
        <v>96.7</v>
      </c>
      <c r="K293" s="1">
        <f>TablaVentas[[#This Row],[Total Venta]]-TablaVentas[[#This Row],[Total Costo]]</f>
        <v>92.219999999999985</v>
      </c>
    </row>
    <row r="294" spans="1:11" x14ac:dyDescent="0.25">
      <c r="A294" s="2">
        <v>45122</v>
      </c>
      <c r="B294" s="1" t="s">
        <v>29</v>
      </c>
      <c r="C294" s="1" t="s">
        <v>30</v>
      </c>
      <c r="D294" s="1" t="s">
        <v>17</v>
      </c>
      <c r="E294" s="1" t="s">
        <v>11</v>
      </c>
      <c r="F294" s="1">
        <v>5</v>
      </c>
      <c r="G294" s="1">
        <v>397.72</v>
      </c>
      <c r="H294" s="1">
        <v>283.94</v>
      </c>
      <c r="I294" s="1">
        <f>TablaVentas[[#This Row],[Precio Unitario]]*TablaVentas[[#This Row],[Cantidad]]</f>
        <v>1988.6000000000001</v>
      </c>
      <c r="J294" s="1">
        <f>TablaVentas[[#This Row],[Costo Unitario]]*TablaVentas[[#This Row],[Cantidad]]</f>
        <v>1419.7</v>
      </c>
      <c r="K294" s="1">
        <f>TablaVentas[[#This Row],[Total Venta]]-TablaVentas[[#This Row],[Total Costo]]</f>
        <v>568.90000000000009</v>
      </c>
    </row>
    <row r="295" spans="1:11" x14ac:dyDescent="0.25">
      <c r="A295" s="2">
        <v>45123</v>
      </c>
      <c r="B295" s="1" t="s">
        <v>32</v>
      </c>
      <c r="C295" s="1" t="s">
        <v>30</v>
      </c>
      <c r="D295" s="1" t="s">
        <v>10</v>
      </c>
      <c r="E295" s="1" t="s">
        <v>22</v>
      </c>
      <c r="F295" s="1">
        <v>10</v>
      </c>
      <c r="G295" s="1">
        <v>340.5</v>
      </c>
      <c r="H295" s="1">
        <v>203.2</v>
      </c>
      <c r="I295" s="1">
        <f>TablaVentas[[#This Row],[Precio Unitario]]*TablaVentas[[#This Row],[Cantidad]]</f>
        <v>3405</v>
      </c>
      <c r="J295" s="1">
        <f>TablaVentas[[#This Row],[Costo Unitario]]*TablaVentas[[#This Row],[Cantidad]]</f>
        <v>2032</v>
      </c>
      <c r="K295" s="1">
        <f>TablaVentas[[#This Row],[Total Venta]]-TablaVentas[[#This Row],[Total Costo]]</f>
        <v>1373</v>
      </c>
    </row>
    <row r="296" spans="1:11" x14ac:dyDescent="0.25">
      <c r="A296" s="2">
        <v>45124</v>
      </c>
      <c r="B296" s="1" t="s">
        <v>29</v>
      </c>
      <c r="C296" s="1" t="s">
        <v>30</v>
      </c>
      <c r="D296" s="1" t="s">
        <v>33</v>
      </c>
      <c r="E296" s="1" t="s">
        <v>22</v>
      </c>
      <c r="F296" s="1">
        <v>7</v>
      </c>
      <c r="G296" s="1">
        <v>470.67</v>
      </c>
      <c r="H296" s="1">
        <v>331.77</v>
      </c>
      <c r="I296" s="1">
        <f>TablaVentas[[#This Row],[Precio Unitario]]*TablaVentas[[#This Row],[Cantidad]]</f>
        <v>3294.69</v>
      </c>
      <c r="J296" s="1">
        <f>TablaVentas[[#This Row],[Costo Unitario]]*TablaVentas[[#This Row],[Cantidad]]</f>
        <v>2322.39</v>
      </c>
      <c r="K296" s="1">
        <f>TablaVentas[[#This Row],[Total Venta]]-TablaVentas[[#This Row],[Total Costo]]</f>
        <v>972.30000000000018</v>
      </c>
    </row>
    <row r="297" spans="1:11" x14ac:dyDescent="0.25">
      <c r="A297" s="2">
        <v>45125</v>
      </c>
      <c r="B297" s="1" t="s">
        <v>32</v>
      </c>
      <c r="C297" s="1" t="s">
        <v>30</v>
      </c>
      <c r="D297" s="1" t="s">
        <v>24</v>
      </c>
      <c r="E297" s="1" t="s">
        <v>20</v>
      </c>
      <c r="F297" s="1">
        <v>4</v>
      </c>
      <c r="G297" s="1">
        <v>279.54000000000002</v>
      </c>
      <c r="H297" s="1">
        <v>225.49</v>
      </c>
      <c r="I297" s="1">
        <f>TablaVentas[[#This Row],[Precio Unitario]]*TablaVentas[[#This Row],[Cantidad]]</f>
        <v>1118.1600000000001</v>
      </c>
      <c r="J297" s="1">
        <f>TablaVentas[[#This Row],[Costo Unitario]]*TablaVentas[[#This Row],[Cantidad]]</f>
        <v>901.96</v>
      </c>
      <c r="K297" s="1">
        <f>TablaVentas[[#This Row],[Total Venta]]-TablaVentas[[#This Row],[Total Costo]]</f>
        <v>216.20000000000005</v>
      </c>
    </row>
    <row r="298" spans="1:11" x14ac:dyDescent="0.25">
      <c r="A298" s="2">
        <v>45125</v>
      </c>
      <c r="B298" s="1" t="s">
        <v>29</v>
      </c>
      <c r="C298" s="1" t="s">
        <v>30</v>
      </c>
      <c r="D298" s="1" t="s">
        <v>31</v>
      </c>
      <c r="E298" s="1" t="s">
        <v>15</v>
      </c>
      <c r="F298" s="1">
        <v>3</v>
      </c>
      <c r="G298" s="1">
        <v>505.87</v>
      </c>
      <c r="H298" s="1">
        <v>318.05</v>
      </c>
      <c r="I298" s="1">
        <f>TablaVentas[[#This Row],[Precio Unitario]]*TablaVentas[[#This Row],[Cantidad]]</f>
        <v>1517.6100000000001</v>
      </c>
      <c r="J298" s="1">
        <f>TablaVentas[[#This Row],[Costo Unitario]]*TablaVentas[[#This Row],[Cantidad]]</f>
        <v>954.15000000000009</v>
      </c>
      <c r="K298" s="1">
        <f>TablaVentas[[#This Row],[Total Venta]]-TablaVentas[[#This Row],[Total Costo]]</f>
        <v>563.46</v>
      </c>
    </row>
    <row r="299" spans="1:11" x14ac:dyDescent="0.25">
      <c r="A299" s="2">
        <v>45126</v>
      </c>
      <c r="B299" s="1" t="s">
        <v>23</v>
      </c>
      <c r="C299" s="1" t="s">
        <v>9</v>
      </c>
      <c r="D299" s="1" t="s">
        <v>33</v>
      </c>
      <c r="E299" s="1" t="s">
        <v>15</v>
      </c>
      <c r="F299" s="1">
        <v>1</v>
      </c>
      <c r="G299" s="1">
        <v>71.010000000000005</v>
      </c>
      <c r="H299" s="1">
        <v>47.61</v>
      </c>
      <c r="I299" s="1">
        <f>TablaVentas[[#This Row],[Precio Unitario]]*TablaVentas[[#This Row],[Cantidad]]</f>
        <v>71.010000000000005</v>
      </c>
      <c r="J299" s="1">
        <f>TablaVentas[[#This Row],[Costo Unitario]]*TablaVentas[[#This Row],[Cantidad]]</f>
        <v>47.61</v>
      </c>
      <c r="K299" s="1">
        <f>TablaVentas[[#This Row],[Total Venta]]-TablaVentas[[#This Row],[Total Costo]]</f>
        <v>23.400000000000006</v>
      </c>
    </row>
    <row r="300" spans="1:11" x14ac:dyDescent="0.25">
      <c r="A300" s="2">
        <v>45127</v>
      </c>
      <c r="B300" s="1" t="s">
        <v>16</v>
      </c>
      <c r="C300" s="1" t="s">
        <v>13</v>
      </c>
      <c r="D300" s="1" t="s">
        <v>17</v>
      </c>
      <c r="E300" s="1" t="s">
        <v>28</v>
      </c>
      <c r="F300" s="1">
        <v>5</v>
      </c>
      <c r="G300" s="1">
        <v>58.87</v>
      </c>
      <c r="H300" s="1">
        <v>33.44</v>
      </c>
      <c r="I300" s="1">
        <f>TablaVentas[[#This Row],[Precio Unitario]]*TablaVentas[[#This Row],[Cantidad]]</f>
        <v>294.34999999999997</v>
      </c>
      <c r="J300" s="1">
        <f>TablaVentas[[#This Row],[Costo Unitario]]*TablaVentas[[#This Row],[Cantidad]]</f>
        <v>167.2</v>
      </c>
      <c r="K300" s="1">
        <f>TablaVentas[[#This Row],[Total Venta]]-TablaVentas[[#This Row],[Total Costo]]</f>
        <v>127.14999999999998</v>
      </c>
    </row>
    <row r="301" spans="1:11" x14ac:dyDescent="0.25">
      <c r="A301" s="2">
        <v>45127</v>
      </c>
      <c r="B301" s="1" t="s">
        <v>16</v>
      </c>
      <c r="C301" s="1" t="s">
        <v>13</v>
      </c>
      <c r="D301" s="1" t="s">
        <v>33</v>
      </c>
      <c r="E301" s="1" t="s">
        <v>28</v>
      </c>
      <c r="F301" s="1">
        <v>4</v>
      </c>
      <c r="G301" s="1">
        <v>52.85</v>
      </c>
      <c r="H301" s="1">
        <v>33.79</v>
      </c>
      <c r="I301" s="1">
        <f>TablaVentas[[#This Row],[Precio Unitario]]*TablaVentas[[#This Row],[Cantidad]]</f>
        <v>211.4</v>
      </c>
      <c r="J301" s="1">
        <f>TablaVentas[[#This Row],[Costo Unitario]]*TablaVentas[[#This Row],[Cantidad]]</f>
        <v>135.16</v>
      </c>
      <c r="K301" s="1">
        <f>TablaVentas[[#This Row],[Total Venta]]-TablaVentas[[#This Row],[Total Costo]]</f>
        <v>76.240000000000009</v>
      </c>
    </row>
    <row r="302" spans="1:11" x14ac:dyDescent="0.25">
      <c r="A302" s="2">
        <v>45127</v>
      </c>
      <c r="B302" s="1" t="s">
        <v>32</v>
      </c>
      <c r="C302" s="1" t="s">
        <v>30</v>
      </c>
      <c r="D302" s="1" t="s">
        <v>14</v>
      </c>
      <c r="E302" s="1" t="s">
        <v>15</v>
      </c>
      <c r="F302" s="1">
        <v>10</v>
      </c>
      <c r="G302" s="1">
        <v>292.91000000000003</v>
      </c>
      <c r="H302" s="1">
        <v>214</v>
      </c>
      <c r="I302" s="1">
        <f>TablaVentas[[#This Row],[Precio Unitario]]*TablaVentas[[#This Row],[Cantidad]]</f>
        <v>2929.1000000000004</v>
      </c>
      <c r="J302" s="1">
        <f>TablaVentas[[#This Row],[Costo Unitario]]*TablaVentas[[#This Row],[Cantidad]]</f>
        <v>2140</v>
      </c>
      <c r="K302" s="1">
        <f>TablaVentas[[#This Row],[Total Venta]]-TablaVentas[[#This Row],[Total Costo]]</f>
        <v>789.10000000000036</v>
      </c>
    </row>
    <row r="303" spans="1:11" x14ac:dyDescent="0.25">
      <c r="A303" s="2">
        <v>45129</v>
      </c>
      <c r="B303" s="1" t="s">
        <v>34</v>
      </c>
      <c r="C303" s="1" t="s">
        <v>13</v>
      </c>
      <c r="D303" s="1" t="s">
        <v>10</v>
      </c>
      <c r="E303" s="1" t="s">
        <v>28</v>
      </c>
      <c r="F303" s="1">
        <v>1</v>
      </c>
      <c r="G303" s="1">
        <v>306.83999999999997</v>
      </c>
      <c r="H303" s="1">
        <v>198.57</v>
      </c>
      <c r="I303" s="1">
        <f>TablaVentas[[#This Row],[Precio Unitario]]*TablaVentas[[#This Row],[Cantidad]]</f>
        <v>306.83999999999997</v>
      </c>
      <c r="J303" s="1">
        <f>TablaVentas[[#This Row],[Costo Unitario]]*TablaVentas[[#This Row],[Cantidad]]</f>
        <v>198.57</v>
      </c>
      <c r="K303" s="1">
        <f>TablaVentas[[#This Row],[Total Venta]]-TablaVentas[[#This Row],[Total Costo]]</f>
        <v>108.26999999999998</v>
      </c>
    </row>
    <row r="304" spans="1:11" x14ac:dyDescent="0.25">
      <c r="A304" s="2">
        <v>45129</v>
      </c>
      <c r="B304" s="1" t="s">
        <v>26</v>
      </c>
      <c r="C304" s="1" t="s">
        <v>19</v>
      </c>
      <c r="D304" s="1" t="s">
        <v>24</v>
      </c>
      <c r="E304" s="1" t="s">
        <v>11</v>
      </c>
      <c r="F304" s="1">
        <v>1</v>
      </c>
      <c r="G304" s="1">
        <v>48.38</v>
      </c>
      <c r="H304" s="1">
        <v>25.24</v>
      </c>
      <c r="I304" s="1">
        <f>TablaVentas[[#This Row],[Precio Unitario]]*TablaVentas[[#This Row],[Cantidad]]</f>
        <v>48.38</v>
      </c>
      <c r="J304" s="1">
        <f>TablaVentas[[#This Row],[Costo Unitario]]*TablaVentas[[#This Row],[Cantidad]]</f>
        <v>25.24</v>
      </c>
      <c r="K304" s="1">
        <f>TablaVentas[[#This Row],[Total Venta]]-TablaVentas[[#This Row],[Total Costo]]</f>
        <v>23.140000000000004</v>
      </c>
    </row>
    <row r="305" spans="1:11" x14ac:dyDescent="0.25">
      <c r="A305" s="2">
        <v>45130</v>
      </c>
      <c r="B305" s="1" t="s">
        <v>26</v>
      </c>
      <c r="C305" s="1" t="s">
        <v>19</v>
      </c>
      <c r="D305" s="1" t="s">
        <v>27</v>
      </c>
      <c r="E305" s="1" t="s">
        <v>28</v>
      </c>
      <c r="F305" s="1">
        <v>5</v>
      </c>
      <c r="G305" s="1">
        <v>43.82</v>
      </c>
      <c r="H305" s="1">
        <v>26.06</v>
      </c>
      <c r="I305" s="1">
        <f>TablaVentas[[#This Row],[Precio Unitario]]*TablaVentas[[#This Row],[Cantidad]]</f>
        <v>219.1</v>
      </c>
      <c r="J305" s="1">
        <f>TablaVentas[[#This Row],[Costo Unitario]]*TablaVentas[[#This Row],[Cantidad]]</f>
        <v>130.29999999999998</v>
      </c>
      <c r="K305" s="1">
        <f>TablaVentas[[#This Row],[Total Venta]]-TablaVentas[[#This Row],[Total Costo]]</f>
        <v>88.800000000000011</v>
      </c>
    </row>
    <row r="306" spans="1:11" x14ac:dyDescent="0.25">
      <c r="A306" s="2">
        <v>45130</v>
      </c>
      <c r="B306" s="1" t="s">
        <v>18</v>
      </c>
      <c r="C306" s="1" t="s">
        <v>19</v>
      </c>
      <c r="D306" s="1" t="s">
        <v>14</v>
      </c>
      <c r="E306" s="1" t="s">
        <v>22</v>
      </c>
      <c r="F306" s="1">
        <v>10</v>
      </c>
      <c r="G306" s="1">
        <v>1267.22</v>
      </c>
      <c r="H306" s="1">
        <v>881.81</v>
      </c>
      <c r="I306" s="1">
        <f>TablaVentas[[#This Row],[Precio Unitario]]*TablaVentas[[#This Row],[Cantidad]]</f>
        <v>12672.2</v>
      </c>
      <c r="J306" s="1">
        <f>TablaVentas[[#This Row],[Costo Unitario]]*TablaVentas[[#This Row],[Cantidad]]</f>
        <v>8818.0999999999985</v>
      </c>
      <c r="K306" s="1">
        <f>TablaVentas[[#This Row],[Total Venta]]-TablaVentas[[#This Row],[Total Costo]]</f>
        <v>3854.1000000000022</v>
      </c>
    </row>
    <row r="307" spans="1:11" x14ac:dyDescent="0.25">
      <c r="A307" s="2">
        <v>45130</v>
      </c>
      <c r="B307" s="1" t="s">
        <v>12</v>
      </c>
      <c r="C307" s="1" t="s">
        <v>13</v>
      </c>
      <c r="D307" s="1" t="s">
        <v>14</v>
      </c>
      <c r="E307" s="1" t="s">
        <v>28</v>
      </c>
      <c r="F307" s="1">
        <v>10</v>
      </c>
      <c r="G307" s="1">
        <v>58.51</v>
      </c>
      <c r="H307" s="1">
        <v>40.950000000000003</v>
      </c>
      <c r="I307" s="1">
        <f>TablaVentas[[#This Row],[Precio Unitario]]*TablaVentas[[#This Row],[Cantidad]]</f>
        <v>585.1</v>
      </c>
      <c r="J307" s="1">
        <f>TablaVentas[[#This Row],[Costo Unitario]]*TablaVentas[[#This Row],[Cantidad]]</f>
        <v>409.5</v>
      </c>
      <c r="K307" s="1">
        <f>TablaVentas[[#This Row],[Total Venta]]-TablaVentas[[#This Row],[Total Costo]]</f>
        <v>175.60000000000002</v>
      </c>
    </row>
    <row r="308" spans="1:11" x14ac:dyDescent="0.25">
      <c r="A308" s="2">
        <v>45131</v>
      </c>
      <c r="B308" s="1" t="s">
        <v>32</v>
      </c>
      <c r="C308" s="1" t="s">
        <v>30</v>
      </c>
      <c r="D308" s="1" t="s">
        <v>17</v>
      </c>
      <c r="E308" s="1" t="s">
        <v>22</v>
      </c>
      <c r="F308" s="1">
        <v>8</v>
      </c>
      <c r="G308" s="1">
        <v>275.07</v>
      </c>
      <c r="H308" s="1">
        <v>192.72</v>
      </c>
      <c r="I308" s="1">
        <f>TablaVentas[[#This Row],[Precio Unitario]]*TablaVentas[[#This Row],[Cantidad]]</f>
        <v>2200.56</v>
      </c>
      <c r="J308" s="1">
        <f>TablaVentas[[#This Row],[Costo Unitario]]*TablaVentas[[#This Row],[Cantidad]]</f>
        <v>1541.76</v>
      </c>
      <c r="K308" s="1">
        <f>TablaVentas[[#This Row],[Total Venta]]-TablaVentas[[#This Row],[Total Costo]]</f>
        <v>658.8</v>
      </c>
    </row>
    <row r="309" spans="1:11" x14ac:dyDescent="0.25">
      <c r="A309" s="2">
        <v>45132</v>
      </c>
      <c r="B309" s="1" t="s">
        <v>32</v>
      </c>
      <c r="C309" s="1" t="s">
        <v>30</v>
      </c>
      <c r="D309" s="1" t="s">
        <v>31</v>
      </c>
      <c r="E309" s="1" t="s">
        <v>11</v>
      </c>
      <c r="F309" s="1">
        <v>10</v>
      </c>
      <c r="G309" s="1">
        <v>345.08</v>
      </c>
      <c r="H309" s="1">
        <v>213.4</v>
      </c>
      <c r="I309" s="1">
        <f>TablaVentas[[#This Row],[Precio Unitario]]*TablaVentas[[#This Row],[Cantidad]]</f>
        <v>3450.7999999999997</v>
      </c>
      <c r="J309" s="1">
        <f>TablaVentas[[#This Row],[Costo Unitario]]*TablaVentas[[#This Row],[Cantidad]]</f>
        <v>2134</v>
      </c>
      <c r="K309" s="1">
        <f>TablaVentas[[#This Row],[Total Venta]]-TablaVentas[[#This Row],[Total Costo]]</f>
        <v>1316.7999999999997</v>
      </c>
    </row>
    <row r="310" spans="1:11" x14ac:dyDescent="0.25">
      <c r="A310" s="2">
        <v>45133</v>
      </c>
      <c r="B310" s="1" t="s">
        <v>18</v>
      </c>
      <c r="C310" s="1" t="s">
        <v>19</v>
      </c>
      <c r="D310" s="1" t="s">
        <v>27</v>
      </c>
      <c r="E310" s="1" t="s">
        <v>22</v>
      </c>
      <c r="F310" s="1">
        <v>3</v>
      </c>
      <c r="G310" s="1">
        <v>1269.27</v>
      </c>
      <c r="H310" s="1">
        <v>805.72</v>
      </c>
      <c r="I310" s="1">
        <f>TablaVentas[[#This Row],[Precio Unitario]]*TablaVentas[[#This Row],[Cantidad]]</f>
        <v>3807.81</v>
      </c>
      <c r="J310" s="1">
        <f>TablaVentas[[#This Row],[Costo Unitario]]*TablaVentas[[#This Row],[Cantidad]]</f>
        <v>2417.16</v>
      </c>
      <c r="K310" s="1">
        <f>TablaVentas[[#This Row],[Total Venta]]-TablaVentas[[#This Row],[Total Costo]]</f>
        <v>1390.65</v>
      </c>
    </row>
    <row r="311" spans="1:11" x14ac:dyDescent="0.25">
      <c r="A311" s="2">
        <v>45133</v>
      </c>
      <c r="B311" s="1" t="s">
        <v>8</v>
      </c>
      <c r="C311" s="1" t="s">
        <v>9</v>
      </c>
      <c r="D311" s="1" t="s">
        <v>33</v>
      </c>
      <c r="E311" s="1" t="s">
        <v>20</v>
      </c>
      <c r="F311" s="1">
        <v>4</v>
      </c>
      <c r="G311" s="1">
        <v>652.58000000000004</v>
      </c>
      <c r="H311" s="1">
        <v>518.87</v>
      </c>
      <c r="I311" s="1">
        <f>TablaVentas[[#This Row],[Precio Unitario]]*TablaVentas[[#This Row],[Cantidad]]</f>
        <v>2610.3200000000002</v>
      </c>
      <c r="J311" s="1">
        <f>TablaVentas[[#This Row],[Costo Unitario]]*TablaVentas[[#This Row],[Cantidad]]</f>
        <v>2075.48</v>
      </c>
      <c r="K311" s="1">
        <f>TablaVentas[[#This Row],[Total Venta]]-TablaVentas[[#This Row],[Total Costo]]</f>
        <v>534.84000000000015</v>
      </c>
    </row>
    <row r="312" spans="1:11" x14ac:dyDescent="0.25">
      <c r="A312" s="2">
        <v>45134</v>
      </c>
      <c r="B312" s="1" t="s">
        <v>12</v>
      </c>
      <c r="C312" s="1" t="s">
        <v>13</v>
      </c>
      <c r="D312" s="1" t="s">
        <v>17</v>
      </c>
      <c r="E312" s="1" t="s">
        <v>22</v>
      </c>
      <c r="F312" s="1">
        <v>5</v>
      </c>
      <c r="G312" s="1">
        <v>56.69</v>
      </c>
      <c r="H312" s="1">
        <v>41.07</v>
      </c>
      <c r="I312" s="1">
        <f>TablaVentas[[#This Row],[Precio Unitario]]*TablaVentas[[#This Row],[Cantidad]]</f>
        <v>283.45</v>
      </c>
      <c r="J312" s="1">
        <f>TablaVentas[[#This Row],[Costo Unitario]]*TablaVentas[[#This Row],[Cantidad]]</f>
        <v>205.35</v>
      </c>
      <c r="K312" s="1">
        <f>TablaVentas[[#This Row],[Total Venta]]-TablaVentas[[#This Row],[Total Costo]]</f>
        <v>78.099999999999994</v>
      </c>
    </row>
    <row r="313" spans="1:11" x14ac:dyDescent="0.25">
      <c r="A313" s="2">
        <v>45134</v>
      </c>
      <c r="B313" s="1" t="s">
        <v>21</v>
      </c>
      <c r="C313" s="1" t="s">
        <v>19</v>
      </c>
      <c r="D313" s="1" t="s">
        <v>14</v>
      </c>
      <c r="E313" s="1" t="s">
        <v>22</v>
      </c>
      <c r="F313" s="1">
        <v>7</v>
      </c>
      <c r="G313" s="1">
        <v>91.96</v>
      </c>
      <c r="H313" s="1">
        <v>49.36</v>
      </c>
      <c r="I313" s="1">
        <f>TablaVentas[[#This Row],[Precio Unitario]]*TablaVentas[[#This Row],[Cantidad]]</f>
        <v>643.71999999999991</v>
      </c>
      <c r="J313" s="1">
        <f>TablaVentas[[#This Row],[Costo Unitario]]*TablaVentas[[#This Row],[Cantidad]]</f>
        <v>345.52</v>
      </c>
      <c r="K313" s="1">
        <f>TablaVentas[[#This Row],[Total Venta]]-TablaVentas[[#This Row],[Total Costo]]</f>
        <v>298.19999999999993</v>
      </c>
    </row>
    <row r="314" spans="1:11" x14ac:dyDescent="0.25">
      <c r="A314" s="2">
        <v>45135</v>
      </c>
      <c r="B314" s="1" t="s">
        <v>12</v>
      </c>
      <c r="C314" s="1" t="s">
        <v>13</v>
      </c>
      <c r="D314" s="1" t="s">
        <v>33</v>
      </c>
      <c r="E314" s="1" t="s">
        <v>22</v>
      </c>
      <c r="F314" s="1">
        <v>4</v>
      </c>
      <c r="G314" s="1">
        <v>70.69</v>
      </c>
      <c r="H314" s="1">
        <v>44.57</v>
      </c>
      <c r="I314" s="1">
        <f>TablaVentas[[#This Row],[Precio Unitario]]*TablaVentas[[#This Row],[Cantidad]]</f>
        <v>282.76</v>
      </c>
      <c r="J314" s="1">
        <f>TablaVentas[[#This Row],[Costo Unitario]]*TablaVentas[[#This Row],[Cantidad]]</f>
        <v>178.28</v>
      </c>
      <c r="K314" s="1">
        <f>TablaVentas[[#This Row],[Total Venta]]-TablaVentas[[#This Row],[Total Costo]]</f>
        <v>104.47999999999999</v>
      </c>
    </row>
    <row r="315" spans="1:11" x14ac:dyDescent="0.25">
      <c r="A315" s="2">
        <v>45135</v>
      </c>
      <c r="B315" s="1" t="s">
        <v>12</v>
      </c>
      <c r="C315" s="1" t="s">
        <v>13</v>
      </c>
      <c r="D315" s="1" t="s">
        <v>24</v>
      </c>
      <c r="E315" s="1" t="s">
        <v>28</v>
      </c>
      <c r="F315" s="1">
        <v>10</v>
      </c>
      <c r="G315" s="1">
        <v>63.89</v>
      </c>
      <c r="H315" s="1">
        <v>40.97</v>
      </c>
      <c r="I315" s="1">
        <f>TablaVentas[[#This Row],[Precio Unitario]]*TablaVentas[[#This Row],[Cantidad]]</f>
        <v>638.9</v>
      </c>
      <c r="J315" s="1">
        <f>TablaVentas[[#This Row],[Costo Unitario]]*TablaVentas[[#This Row],[Cantidad]]</f>
        <v>409.7</v>
      </c>
      <c r="K315" s="1">
        <f>TablaVentas[[#This Row],[Total Venta]]-TablaVentas[[#This Row],[Total Costo]]</f>
        <v>229.2</v>
      </c>
    </row>
    <row r="316" spans="1:11" x14ac:dyDescent="0.25">
      <c r="A316" s="2">
        <v>45136</v>
      </c>
      <c r="B316" s="1" t="s">
        <v>12</v>
      </c>
      <c r="C316" s="1" t="s">
        <v>13</v>
      </c>
      <c r="D316" s="1" t="s">
        <v>24</v>
      </c>
      <c r="E316" s="1" t="s">
        <v>20</v>
      </c>
      <c r="F316" s="1">
        <v>4</v>
      </c>
      <c r="G316" s="1">
        <v>55.3</v>
      </c>
      <c r="H316" s="1">
        <v>39.909999999999997</v>
      </c>
      <c r="I316" s="1">
        <f>TablaVentas[[#This Row],[Precio Unitario]]*TablaVentas[[#This Row],[Cantidad]]</f>
        <v>221.2</v>
      </c>
      <c r="J316" s="1">
        <f>TablaVentas[[#This Row],[Costo Unitario]]*TablaVentas[[#This Row],[Cantidad]]</f>
        <v>159.63999999999999</v>
      </c>
      <c r="K316" s="1">
        <f>TablaVentas[[#This Row],[Total Venta]]-TablaVentas[[#This Row],[Total Costo]]</f>
        <v>61.56</v>
      </c>
    </row>
    <row r="317" spans="1:11" x14ac:dyDescent="0.25">
      <c r="A317" s="2">
        <v>45136</v>
      </c>
      <c r="B317" s="1" t="s">
        <v>26</v>
      </c>
      <c r="C317" s="1" t="s">
        <v>19</v>
      </c>
      <c r="D317" s="1" t="s">
        <v>31</v>
      </c>
      <c r="E317" s="1" t="s">
        <v>11</v>
      </c>
      <c r="F317" s="1">
        <v>9</v>
      </c>
      <c r="G317" s="1">
        <v>46.58</v>
      </c>
      <c r="H317" s="1">
        <v>26.28</v>
      </c>
      <c r="I317" s="1">
        <f>TablaVentas[[#This Row],[Precio Unitario]]*TablaVentas[[#This Row],[Cantidad]]</f>
        <v>419.21999999999997</v>
      </c>
      <c r="J317" s="1">
        <f>TablaVentas[[#This Row],[Costo Unitario]]*TablaVentas[[#This Row],[Cantidad]]</f>
        <v>236.52</v>
      </c>
      <c r="K317" s="1">
        <f>TablaVentas[[#This Row],[Total Venta]]-TablaVentas[[#This Row],[Total Costo]]</f>
        <v>182.69999999999996</v>
      </c>
    </row>
    <row r="318" spans="1:11" x14ac:dyDescent="0.25">
      <c r="A318" s="2">
        <v>45136</v>
      </c>
      <c r="B318" s="1" t="s">
        <v>34</v>
      </c>
      <c r="C318" s="1" t="s">
        <v>13</v>
      </c>
      <c r="D318" s="1" t="s">
        <v>33</v>
      </c>
      <c r="E318" s="1" t="s">
        <v>22</v>
      </c>
      <c r="F318" s="1">
        <v>5</v>
      </c>
      <c r="G318" s="1">
        <v>265.39999999999998</v>
      </c>
      <c r="H318" s="1">
        <v>207.75</v>
      </c>
      <c r="I318" s="1">
        <f>TablaVentas[[#This Row],[Precio Unitario]]*TablaVentas[[#This Row],[Cantidad]]</f>
        <v>1327</v>
      </c>
      <c r="J318" s="1">
        <f>TablaVentas[[#This Row],[Costo Unitario]]*TablaVentas[[#This Row],[Cantidad]]</f>
        <v>1038.75</v>
      </c>
      <c r="K318" s="1">
        <f>TablaVentas[[#This Row],[Total Venta]]-TablaVentas[[#This Row],[Total Costo]]</f>
        <v>288.25</v>
      </c>
    </row>
    <row r="319" spans="1:11" x14ac:dyDescent="0.25">
      <c r="A319" s="2">
        <v>45137</v>
      </c>
      <c r="B319" s="1" t="s">
        <v>34</v>
      </c>
      <c r="C319" s="1" t="s">
        <v>13</v>
      </c>
      <c r="D319" s="1" t="s">
        <v>17</v>
      </c>
      <c r="E319" s="1" t="s">
        <v>15</v>
      </c>
      <c r="F319" s="1">
        <v>6</v>
      </c>
      <c r="G319" s="1">
        <v>316.60000000000002</v>
      </c>
      <c r="H319" s="1">
        <v>175.52</v>
      </c>
      <c r="I319" s="1">
        <f>TablaVentas[[#This Row],[Precio Unitario]]*TablaVentas[[#This Row],[Cantidad]]</f>
        <v>1899.6000000000001</v>
      </c>
      <c r="J319" s="1">
        <f>TablaVentas[[#This Row],[Costo Unitario]]*TablaVentas[[#This Row],[Cantidad]]</f>
        <v>1053.1200000000001</v>
      </c>
      <c r="K319" s="1">
        <f>TablaVentas[[#This Row],[Total Venta]]-TablaVentas[[#This Row],[Total Costo]]</f>
        <v>846.48</v>
      </c>
    </row>
    <row r="320" spans="1:11" x14ac:dyDescent="0.25">
      <c r="A320" s="2">
        <v>45137</v>
      </c>
      <c r="B320" s="1" t="s">
        <v>8</v>
      </c>
      <c r="C320" s="1" t="s">
        <v>9</v>
      </c>
      <c r="D320" s="1" t="s">
        <v>33</v>
      </c>
      <c r="E320" s="1" t="s">
        <v>11</v>
      </c>
      <c r="F320" s="1">
        <v>3</v>
      </c>
      <c r="G320" s="1">
        <v>657.8</v>
      </c>
      <c r="H320" s="1">
        <v>507.7</v>
      </c>
      <c r="I320" s="1">
        <f>TablaVentas[[#This Row],[Precio Unitario]]*TablaVentas[[#This Row],[Cantidad]]</f>
        <v>1973.3999999999999</v>
      </c>
      <c r="J320" s="1">
        <f>TablaVentas[[#This Row],[Costo Unitario]]*TablaVentas[[#This Row],[Cantidad]]</f>
        <v>1523.1</v>
      </c>
      <c r="K320" s="1">
        <f>TablaVentas[[#This Row],[Total Venta]]-TablaVentas[[#This Row],[Total Costo]]</f>
        <v>450.29999999999995</v>
      </c>
    </row>
    <row r="321" spans="1:11" x14ac:dyDescent="0.25">
      <c r="A321" s="2">
        <v>45139</v>
      </c>
      <c r="B321" s="1" t="s">
        <v>21</v>
      </c>
      <c r="C321" s="1" t="s">
        <v>19</v>
      </c>
      <c r="D321" s="1" t="s">
        <v>25</v>
      </c>
      <c r="E321" s="1" t="s">
        <v>11</v>
      </c>
      <c r="F321" s="1">
        <v>7</v>
      </c>
      <c r="G321" s="1">
        <v>93.2</v>
      </c>
      <c r="H321" s="1">
        <v>50.91</v>
      </c>
      <c r="I321" s="1">
        <f>TablaVentas[[#This Row],[Precio Unitario]]*TablaVentas[[#This Row],[Cantidad]]</f>
        <v>652.4</v>
      </c>
      <c r="J321" s="1">
        <f>TablaVentas[[#This Row],[Costo Unitario]]*TablaVentas[[#This Row],[Cantidad]]</f>
        <v>356.37</v>
      </c>
      <c r="K321" s="1">
        <f>TablaVentas[[#This Row],[Total Venta]]-TablaVentas[[#This Row],[Total Costo]]</f>
        <v>296.02999999999997</v>
      </c>
    </row>
    <row r="322" spans="1:11" x14ac:dyDescent="0.25">
      <c r="A322" s="2">
        <v>45139</v>
      </c>
      <c r="B322" s="1" t="s">
        <v>18</v>
      </c>
      <c r="C322" s="1" t="s">
        <v>19</v>
      </c>
      <c r="D322" s="1" t="s">
        <v>25</v>
      </c>
      <c r="E322" s="1" t="s">
        <v>11</v>
      </c>
      <c r="F322" s="1">
        <v>3</v>
      </c>
      <c r="G322" s="1">
        <v>1031.53</v>
      </c>
      <c r="H322" s="1">
        <v>841.93</v>
      </c>
      <c r="I322" s="1">
        <f>TablaVentas[[#This Row],[Precio Unitario]]*TablaVentas[[#This Row],[Cantidad]]</f>
        <v>3094.59</v>
      </c>
      <c r="J322" s="1">
        <f>TablaVentas[[#This Row],[Costo Unitario]]*TablaVentas[[#This Row],[Cantidad]]</f>
        <v>2525.79</v>
      </c>
      <c r="K322" s="1">
        <f>TablaVentas[[#This Row],[Total Venta]]-TablaVentas[[#This Row],[Total Costo]]</f>
        <v>568.80000000000018</v>
      </c>
    </row>
    <row r="323" spans="1:11" x14ac:dyDescent="0.25">
      <c r="A323" s="2">
        <v>45140</v>
      </c>
      <c r="B323" s="1" t="s">
        <v>26</v>
      </c>
      <c r="C323" s="1" t="s">
        <v>19</v>
      </c>
      <c r="D323" s="1" t="s">
        <v>10</v>
      </c>
      <c r="E323" s="1" t="s">
        <v>11</v>
      </c>
      <c r="F323" s="1">
        <v>6</v>
      </c>
      <c r="G323" s="1">
        <v>43.16</v>
      </c>
      <c r="H323" s="1">
        <v>26.88</v>
      </c>
      <c r="I323" s="1">
        <f>TablaVentas[[#This Row],[Precio Unitario]]*TablaVentas[[#This Row],[Cantidad]]</f>
        <v>258.95999999999998</v>
      </c>
      <c r="J323" s="1">
        <f>TablaVentas[[#This Row],[Costo Unitario]]*TablaVentas[[#This Row],[Cantidad]]</f>
        <v>161.28</v>
      </c>
      <c r="K323" s="1">
        <f>TablaVentas[[#This Row],[Total Venta]]-TablaVentas[[#This Row],[Total Costo]]</f>
        <v>97.679999999999978</v>
      </c>
    </row>
    <row r="324" spans="1:11" x14ac:dyDescent="0.25">
      <c r="A324" s="2">
        <v>45141</v>
      </c>
      <c r="B324" s="1" t="s">
        <v>18</v>
      </c>
      <c r="C324" s="1" t="s">
        <v>19</v>
      </c>
      <c r="D324" s="1" t="s">
        <v>10</v>
      </c>
      <c r="E324" s="1" t="s">
        <v>20</v>
      </c>
      <c r="F324" s="1">
        <v>7</v>
      </c>
      <c r="G324" s="1">
        <v>1146.8499999999999</v>
      </c>
      <c r="H324" s="1">
        <v>872.61</v>
      </c>
      <c r="I324" s="1">
        <f>TablaVentas[[#This Row],[Precio Unitario]]*TablaVentas[[#This Row],[Cantidad]]</f>
        <v>8027.9499999999989</v>
      </c>
      <c r="J324" s="1">
        <f>TablaVentas[[#This Row],[Costo Unitario]]*TablaVentas[[#This Row],[Cantidad]]</f>
        <v>6108.27</v>
      </c>
      <c r="K324" s="1">
        <f>TablaVentas[[#This Row],[Total Venta]]-TablaVentas[[#This Row],[Total Costo]]</f>
        <v>1919.6799999999985</v>
      </c>
    </row>
    <row r="325" spans="1:11" x14ac:dyDescent="0.25">
      <c r="A325" s="2">
        <v>45142</v>
      </c>
      <c r="B325" s="1" t="s">
        <v>12</v>
      </c>
      <c r="C325" s="1" t="s">
        <v>13</v>
      </c>
      <c r="D325" s="1" t="s">
        <v>33</v>
      </c>
      <c r="E325" s="1" t="s">
        <v>11</v>
      </c>
      <c r="F325" s="1">
        <v>5</v>
      </c>
      <c r="G325" s="1">
        <v>71.66</v>
      </c>
      <c r="H325" s="1">
        <v>41.24</v>
      </c>
      <c r="I325" s="1">
        <f>TablaVentas[[#This Row],[Precio Unitario]]*TablaVentas[[#This Row],[Cantidad]]</f>
        <v>358.29999999999995</v>
      </c>
      <c r="J325" s="1">
        <f>TablaVentas[[#This Row],[Costo Unitario]]*TablaVentas[[#This Row],[Cantidad]]</f>
        <v>206.20000000000002</v>
      </c>
      <c r="K325" s="1">
        <f>TablaVentas[[#This Row],[Total Venta]]-TablaVentas[[#This Row],[Total Costo]]</f>
        <v>152.09999999999994</v>
      </c>
    </row>
    <row r="326" spans="1:11" x14ac:dyDescent="0.25">
      <c r="A326" s="2">
        <v>45143</v>
      </c>
      <c r="B326" s="1" t="s">
        <v>21</v>
      </c>
      <c r="C326" s="1" t="s">
        <v>19</v>
      </c>
      <c r="D326" s="1" t="s">
        <v>25</v>
      </c>
      <c r="E326" s="1" t="s">
        <v>11</v>
      </c>
      <c r="F326" s="1">
        <v>4</v>
      </c>
      <c r="G326" s="1">
        <v>76.849999999999994</v>
      </c>
      <c r="H326" s="1">
        <v>51.82</v>
      </c>
      <c r="I326" s="1">
        <f>TablaVentas[[#This Row],[Precio Unitario]]*TablaVentas[[#This Row],[Cantidad]]</f>
        <v>307.39999999999998</v>
      </c>
      <c r="J326" s="1">
        <f>TablaVentas[[#This Row],[Costo Unitario]]*TablaVentas[[#This Row],[Cantidad]]</f>
        <v>207.28</v>
      </c>
      <c r="K326" s="1">
        <f>TablaVentas[[#This Row],[Total Venta]]-TablaVentas[[#This Row],[Total Costo]]</f>
        <v>100.11999999999998</v>
      </c>
    </row>
    <row r="327" spans="1:11" x14ac:dyDescent="0.25">
      <c r="A327" s="2">
        <v>45145</v>
      </c>
      <c r="B327" s="1" t="s">
        <v>23</v>
      </c>
      <c r="C327" s="1" t="s">
        <v>9</v>
      </c>
      <c r="D327" s="1" t="s">
        <v>27</v>
      </c>
      <c r="E327" s="1" t="s">
        <v>22</v>
      </c>
      <c r="F327" s="1">
        <v>2</v>
      </c>
      <c r="G327" s="1">
        <v>73.540000000000006</v>
      </c>
      <c r="H327" s="1">
        <v>48.84</v>
      </c>
      <c r="I327" s="1">
        <f>TablaVentas[[#This Row],[Precio Unitario]]*TablaVentas[[#This Row],[Cantidad]]</f>
        <v>147.08000000000001</v>
      </c>
      <c r="J327" s="1">
        <f>TablaVentas[[#This Row],[Costo Unitario]]*TablaVentas[[#This Row],[Cantidad]]</f>
        <v>97.68</v>
      </c>
      <c r="K327" s="1">
        <f>TablaVentas[[#This Row],[Total Venta]]-TablaVentas[[#This Row],[Total Costo]]</f>
        <v>49.400000000000006</v>
      </c>
    </row>
    <row r="328" spans="1:11" x14ac:dyDescent="0.25">
      <c r="A328" s="2">
        <v>45145</v>
      </c>
      <c r="B328" s="1" t="s">
        <v>21</v>
      </c>
      <c r="C328" s="1" t="s">
        <v>19</v>
      </c>
      <c r="D328" s="1" t="s">
        <v>27</v>
      </c>
      <c r="E328" s="1" t="s">
        <v>28</v>
      </c>
      <c r="F328" s="1">
        <v>6</v>
      </c>
      <c r="G328" s="1">
        <v>100.56</v>
      </c>
      <c r="H328" s="1">
        <v>51.5</v>
      </c>
      <c r="I328" s="1">
        <f>TablaVentas[[#This Row],[Precio Unitario]]*TablaVentas[[#This Row],[Cantidad]]</f>
        <v>603.36</v>
      </c>
      <c r="J328" s="1">
        <f>TablaVentas[[#This Row],[Costo Unitario]]*TablaVentas[[#This Row],[Cantidad]]</f>
        <v>309</v>
      </c>
      <c r="K328" s="1">
        <f>TablaVentas[[#This Row],[Total Venta]]-TablaVentas[[#This Row],[Total Costo]]</f>
        <v>294.36</v>
      </c>
    </row>
    <row r="329" spans="1:11" x14ac:dyDescent="0.25">
      <c r="A329" s="2">
        <v>45148</v>
      </c>
      <c r="B329" s="1" t="s">
        <v>16</v>
      </c>
      <c r="C329" s="1" t="s">
        <v>13</v>
      </c>
      <c r="D329" s="1" t="s">
        <v>17</v>
      </c>
      <c r="E329" s="1" t="s">
        <v>20</v>
      </c>
      <c r="F329" s="1">
        <v>2</v>
      </c>
      <c r="G329" s="1">
        <v>54.36</v>
      </c>
      <c r="H329" s="1">
        <v>33.659999999999997</v>
      </c>
      <c r="I329" s="1">
        <f>TablaVentas[[#This Row],[Precio Unitario]]*TablaVentas[[#This Row],[Cantidad]]</f>
        <v>108.72</v>
      </c>
      <c r="J329" s="1">
        <f>TablaVentas[[#This Row],[Costo Unitario]]*TablaVentas[[#This Row],[Cantidad]]</f>
        <v>67.319999999999993</v>
      </c>
      <c r="K329" s="1">
        <f>TablaVentas[[#This Row],[Total Venta]]-TablaVentas[[#This Row],[Total Costo]]</f>
        <v>41.400000000000006</v>
      </c>
    </row>
    <row r="330" spans="1:11" x14ac:dyDescent="0.25">
      <c r="A330" s="2">
        <v>45149</v>
      </c>
      <c r="B330" s="1" t="s">
        <v>8</v>
      </c>
      <c r="C330" s="1" t="s">
        <v>9</v>
      </c>
      <c r="D330" s="1" t="s">
        <v>33</v>
      </c>
      <c r="E330" s="1" t="s">
        <v>28</v>
      </c>
      <c r="F330" s="1">
        <v>6</v>
      </c>
      <c r="G330" s="1">
        <v>636.70000000000005</v>
      </c>
      <c r="H330" s="1">
        <v>452.62</v>
      </c>
      <c r="I330" s="1">
        <f>TablaVentas[[#This Row],[Precio Unitario]]*TablaVentas[[#This Row],[Cantidad]]</f>
        <v>3820.2000000000003</v>
      </c>
      <c r="J330" s="1">
        <f>TablaVentas[[#This Row],[Costo Unitario]]*TablaVentas[[#This Row],[Cantidad]]</f>
        <v>2715.7200000000003</v>
      </c>
      <c r="K330" s="1">
        <f>TablaVentas[[#This Row],[Total Venta]]-TablaVentas[[#This Row],[Total Costo]]</f>
        <v>1104.48</v>
      </c>
    </row>
    <row r="331" spans="1:11" x14ac:dyDescent="0.25">
      <c r="A331" s="2">
        <v>45149</v>
      </c>
      <c r="B331" s="1" t="s">
        <v>21</v>
      </c>
      <c r="C331" s="1" t="s">
        <v>19</v>
      </c>
      <c r="D331" s="1" t="s">
        <v>31</v>
      </c>
      <c r="E331" s="1" t="s">
        <v>15</v>
      </c>
      <c r="F331" s="1">
        <v>4</v>
      </c>
      <c r="G331" s="1">
        <v>78.14</v>
      </c>
      <c r="H331" s="1">
        <v>50.24</v>
      </c>
      <c r="I331" s="1">
        <f>TablaVentas[[#This Row],[Precio Unitario]]*TablaVentas[[#This Row],[Cantidad]]</f>
        <v>312.56</v>
      </c>
      <c r="J331" s="1">
        <f>TablaVentas[[#This Row],[Costo Unitario]]*TablaVentas[[#This Row],[Cantidad]]</f>
        <v>200.96</v>
      </c>
      <c r="K331" s="1">
        <f>TablaVentas[[#This Row],[Total Venta]]-TablaVentas[[#This Row],[Total Costo]]</f>
        <v>111.6</v>
      </c>
    </row>
    <row r="332" spans="1:11" x14ac:dyDescent="0.25">
      <c r="A332" s="2">
        <v>45150</v>
      </c>
      <c r="B332" s="1" t="s">
        <v>29</v>
      </c>
      <c r="C332" s="1" t="s">
        <v>30</v>
      </c>
      <c r="D332" s="1" t="s">
        <v>27</v>
      </c>
      <c r="E332" s="1" t="s">
        <v>28</v>
      </c>
      <c r="F332" s="1">
        <v>2</v>
      </c>
      <c r="G332" s="1">
        <v>392.22</v>
      </c>
      <c r="H332" s="1">
        <v>339.11</v>
      </c>
      <c r="I332" s="1">
        <f>TablaVentas[[#This Row],[Precio Unitario]]*TablaVentas[[#This Row],[Cantidad]]</f>
        <v>784.44</v>
      </c>
      <c r="J332" s="1">
        <f>TablaVentas[[#This Row],[Costo Unitario]]*TablaVentas[[#This Row],[Cantidad]]</f>
        <v>678.22</v>
      </c>
      <c r="K332" s="1">
        <f>TablaVentas[[#This Row],[Total Venta]]-TablaVentas[[#This Row],[Total Costo]]</f>
        <v>106.22000000000003</v>
      </c>
    </row>
    <row r="333" spans="1:11" x14ac:dyDescent="0.25">
      <c r="A333" s="2">
        <v>45152</v>
      </c>
      <c r="B333" s="1" t="s">
        <v>18</v>
      </c>
      <c r="C333" s="1" t="s">
        <v>19</v>
      </c>
      <c r="D333" s="1" t="s">
        <v>24</v>
      </c>
      <c r="E333" s="1" t="s">
        <v>20</v>
      </c>
      <c r="F333" s="1">
        <v>9</v>
      </c>
      <c r="G333" s="1">
        <v>1311.45</v>
      </c>
      <c r="H333" s="1">
        <v>895.54</v>
      </c>
      <c r="I333" s="1">
        <f>TablaVentas[[#This Row],[Precio Unitario]]*TablaVentas[[#This Row],[Cantidad]]</f>
        <v>11803.050000000001</v>
      </c>
      <c r="J333" s="1">
        <f>TablaVentas[[#This Row],[Costo Unitario]]*TablaVentas[[#This Row],[Cantidad]]</f>
        <v>8059.86</v>
      </c>
      <c r="K333" s="1">
        <f>TablaVentas[[#This Row],[Total Venta]]-TablaVentas[[#This Row],[Total Costo]]</f>
        <v>3743.1900000000014</v>
      </c>
    </row>
    <row r="334" spans="1:11" x14ac:dyDescent="0.25">
      <c r="A334" s="2">
        <v>45154</v>
      </c>
      <c r="B334" s="1" t="s">
        <v>23</v>
      </c>
      <c r="C334" s="1" t="s">
        <v>9</v>
      </c>
      <c r="D334" s="1" t="s">
        <v>27</v>
      </c>
      <c r="E334" s="1" t="s">
        <v>15</v>
      </c>
      <c r="F334" s="1">
        <v>9</v>
      </c>
      <c r="G334" s="1">
        <v>66.27</v>
      </c>
      <c r="H334" s="1">
        <v>46.47</v>
      </c>
      <c r="I334" s="1">
        <f>TablaVentas[[#This Row],[Precio Unitario]]*TablaVentas[[#This Row],[Cantidad]]</f>
        <v>596.42999999999995</v>
      </c>
      <c r="J334" s="1">
        <f>TablaVentas[[#This Row],[Costo Unitario]]*TablaVentas[[#This Row],[Cantidad]]</f>
        <v>418.23</v>
      </c>
      <c r="K334" s="1">
        <f>TablaVentas[[#This Row],[Total Venta]]-TablaVentas[[#This Row],[Total Costo]]</f>
        <v>178.19999999999993</v>
      </c>
    </row>
    <row r="335" spans="1:11" x14ac:dyDescent="0.25">
      <c r="A335" s="2">
        <v>45155</v>
      </c>
      <c r="B335" s="1" t="s">
        <v>8</v>
      </c>
      <c r="C335" s="1" t="s">
        <v>9</v>
      </c>
      <c r="D335" s="1" t="s">
        <v>25</v>
      </c>
      <c r="E335" s="1" t="s">
        <v>11</v>
      </c>
      <c r="F335" s="1">
        <v>5</v>
      </c>
      <c r="G335" s="1">
        <v>632.37</v>
      </c>
      <c r="H335" s="1">
        <v>527.08000000000004</v>
      </c>
      <c r="I335" s="1">
        <f>TablaVentas[[#This Row],[Precio Unitario]]*TablaVentas[[#This Row],[Cantidad]]</f>
        <v>3161.85</v>
      </c>
      <c r="J335" s="1">
        <f>TablaVentas[[#This Row],[Costo Unitario]]*TablaVentas[[#This Row],[Cantidad]]</f>
        <v>2635.4</v>
      </c>
      <c r="K335" s="1">
        <f>TablaVentas[[#This Row],[Total Venta]]-TablaVentas[[#This Row],[Total Costo]]</f>
        <v>526.44999999999982</v>
      </c>
    </row>
    <row r="336" spans="1:11" x14ac:dyDescent="0.25">
      <c r="A336" s="2">
        <v>45155</v>
      </c>
      <c r="B336" s="1" t="s">
        <v>26</v>
      </c>
      <c r="C336" s="1" t="s">
        <v>19</v>
      </c>
      <c r="D336" s="1" t="s">
        <v>10</v>
      </c>
      <c r="E336" s="1" t="s">
        <v>11</v>
      </c>
      <c r="F336" s="1">
        <v>9</v>
      </c>
      <c r="G336" s="1">
        <v>41.58</v>
      </c>
      <c r="H336" s="1">
        <v>22.53</v>
      </c>
      <c r="I336" s="1">
        <f>TablaVentas[[#This Row],[Precio Unitario]]*TablaVentas[[#This Row],[Cantidad]]</f>
        <v>374.21999999999997</v>
      </c>
      <c r="J336" s="1">
        <f>TablaVentas[[#This Row],[Costo Unitario]]*TablaVentas[[#This Row],[Cantidad]]</f>
        <v>202.77</v>
      </c>
      <c r="K336" s="1">
        <f>TablaVentas[[#This Row],[Total Venta]]-TablaVentas[[#This Row],[Total Costo]]</f>
        <v>171.44999999999996</v>
      </c>
    </row>
    <row r="337" spans="1:11" x14ac:dyDescent="0.25">
      <c r="A337" s="2">
        <v>45156</v>
      </c>
      <c r="B337" s="1" t="s">
        <v>16</v>
      </c>
      <c r="C337" s="1" t="s">
        <v>13</v>
      </c>
      <c r="D337" s="1" t="s">
        <v>33</v>
      </c>
      <c r="E337" s="1" t="s">
        <v>11</v>
      </c>
      <c r="F337" s="1">
        <v>4</v>
      </c>
      <c r="G337" s="1">
        <v>52.59</v>
      </c>
      <c r="H337" s="1">
        <v>33.15</v>
      </c>
      <c r="I337" s="1">
        <f>TablaVentas[[#This Row],[Precio Unitario]]*TablaVentas[[#This Row],[Cantidad]]</f>
        <v>210.36</v>
      </c>
      <c r="J337" s="1">
        <f>TablaVentas[[#This Row],[Costo Unitario]]*TablaVentas[[#This Row],[Cantidad]]</f>
        <v>132.6</v>
      </c>
      <c r="K337" s="1">
        <f>TablaVentas[[#This Row],[Total Venta]]-TablaVentas[[#This Row],[Total Costo]]</f>
        <v>77.760000000000019</v>
      </c>
    </row>
    <row r="338" spans="1:11" x14ac:dyDescent="0.25">
      <c r="A338" s="2">
        <v>45156</v>
      </c>
      <c r="B338" s="1" t="s">
        <v>26</v>
      </c>
      <c r="C338" s="1" t="s">
        <v>19</v>
      </c>
      <c r="D338" s="1" t="s">
        <v>14</v>
      </c>
      <c r="E338" s="1" t="s">
        <v>15</v>
      </c>
      <c r="F338" s="1">
        <v>8</v>
      </c>
      <c r="G338" s="1">
        <v>45.23</v>
      </c>
      <c r="H338" s="1">
        <v>26.76</v>
      </c>
      <c r="I338" s="1">
        <f>TablaVentas[[#This Row],[Precio Unitario]]*TablaVentas[[#This Row],[Cantidad]]</f>
        <v>361.84</v>
      </c>
      <c r="J338" s="1">
        <f>TablaVentas[[#This Row],[Costo Unitario]]*TablaVentas[[#This Row],[Cantidad]]</f>
        <v>214.08</v>
      </c>
      <c r="K338" s="1">
        <f>TablaVentas[[#This Row],[Total Venta]]-TablaVentas[[#This Row],[Total Costo]]</f>
        <v>147.75999999999996</v>
      </c>
    </row>
    <row r="339" spans="1:11" x14ac:dyDescent="0.25">
      <c r="A339" s="2">
        <v>45157</v>
      </c>
      <c r="B339" s="1" t="s">
        <v>23</v>
      </c>
      <c r="C339" s="1" t="s">
        <v>9</v>
      </c>
      <c r="D339" s="1" t="s">
        <v>33</v>
      </c>
      <c r="E339" s="1" t="s">
        <v>22</v>
      </c>
      <c r="F339" s="1">
        <v>4</v>
      </c>
      <c r="G339" s="1">
        <v>66.16</v>
      </c>
      <c r="H339" s="1">
        <v>40.67</v>
      </c>
      <c r="I339" s="1">
        <f>TablaVentas[[#This Row],[Precio Unitario]]*TablaVentas[[#This Row],[Cantidad]]</f>
        <v>264.64</v>
      </c>
      <c r="J339" s="1">
        <f>TablaVentas[[#This Row],[Costo Unitario]]*TablaVentas[[#This Row],[Cantidad]]</f>
        <v>162.68</v>
      </c>
      <c r="K339" s="1">
        <f>TablaVentas[[#This Row],[Total Venta]]-TablaVentas[[#This Row],[Total Costo]]</f>
        <v>101.95999999999998</v>
      </c>
    </row>
    <row r="340" spans="1:11" x14ac:dyDescent="0.25">
      <c r="A340" s="2">
        <v>45157</v>
      </c>
      <c r="B340" s="1" t="s">
        <v>26</v>
      </c>
      <c r="C340" s="1" t="s">
        <v>19</v>
      </c>
      <c r="D340" s="1" t="s">
        <v>10</v>
      </c>
      <c r="E340" s="1" t="s">
        <v>20</v>
      </c>
      <c r="F340" s="1">
        <v>1</v>
      </c>
      <c r="G340" s="1">
        <v>45.54</v>
      </c>
      <c r="H340" s="1">
        <v>26.31</v>
      </c>
      <c r="I340" s="1">
        <f>TablaVentas[[#This Row],[Precio Unitario]]*TablaVentas[[#This Row],[Cantidad]]</f>
        <v>45.54</v>
      </c>
      <c r="J340" s="1">
        <f>TablaVentas[[#This Row],[Costo Unitario]]*TablaVentas[[#This Row],[Cantidad]]</f>
        <v>26.31</v>
      </c>
      <c r="K340" s="1">
        <f>TablaVentas[[#This Row],[Total Venta]]-TablaVentas[[#This Row],[Total Costo]]</f>
        <v>19.23</v>
      </c>
    </row>
    <row r="341" spans="1:11" x14ac:dyDescent="0.25">
      <c r="A341" s="2">
        <v>45157</v>
      </c>
      <c r="B341" s="1" t="s">
        <v>16</v>
      </c>
      <c r="C341" s="1" t="s">
        <v>13</v>
      </c>
      <c r="D341" s="1" t="s">
        <v>10</v>
      </c>
      <c r="E341" s="1" t="s">
        <v>22</v>
      </c>
      <c r="F341" s="1">
        <v>7</v>
      </c>
      <c r="G341" s="1">
        <v>62.53</v>
      </c>
      <c r="H341" s="1">
        <v>31.88</v>
      </c>
      <c r="I341" s="1">
        <f>TablaVentas[[#This Row],[Precio Unitario]]*TablaVentas[[#This Row],[Cantidad]]</f>
        <v>437.71000000000004</v>
      </c>
      <c r="J341" s="1">
        <f>TablaVentas[[#This Row],[Costo Unitario]]*TablaVentas[[#This Row],[Cantidad]]</f>
        <v>223.16</v>
      </c>
      <c r="K341" s="1">
        <f>TablaVentas[[#This Row],[Total Venta]]-TablaVentas[[#This Row],[Total Costo]]</f>
        <v>214.55000000000004</v>
      </c>
    </row>
    <row r="342" spans="1:11" x14ac:dyDescent="0.25">
      <c r="A342" s="2">
        <v>45158</v>
      </c>
      <c r="B342" s="1" t="s">
        <v>34</v>
      </c>
      <c r="C342" s="1" t="s">
        <v>13</v>
      </c>
      <c r="D342" s="1" t="s">
        <v>27</v>
      </c>
      <c r="E342" s="1" t="s">
        <v>15</v>
      </c>
      <c r="F342" s="1">
        <v>7</v>
      </c>
      <c r="G342" s="1">
        <v>251.91</v>
      </c>
      <c r="H342" s="1">
        <v>180.37</v>
      </c>
      <c r="I342" s="1">
        <f>TablaVentas[[#This Row],[Precio Unitario]]*TablaVentas[[#This Row],[Cantidad]]</f>
        <v>1763.37</v>
      </c>
      <c r="J342" s="1">
        <f>TablaVentas[[#This Row],[Costo Unitario]]*TablaVentas[[#This Row],[Cantidad]]</f>
        <v>1262.5900000000001</v>
      </c>
      <c r="K342" s="1">
        <f>TablaVentas[[#This Row],[Total Venta]]-TablaVentas[[#This Row],[Total Costo]]</f>
        <v>500.77999999999975</v>
      </c>
    </row>
    <row r="343" spans="1:11" x14ac:dyDescent="0.25">
      <c r="A343" s="2">
        <v>45159</v>
      </c>
      <c r="B343" s="1" t="s">
        <v>23</v>
      </c>
      <c r="C343" s="1" t="s">
        <v>9</v>
      </c>
      <c r="D343" s="1" t="s">
        <v>10</v>
      </c>
      <c r="E343" s="1" t="s">
        <v>28</v>
      </c>
      <c r="F343" s="1">
        <v>8</v>
      </c>
      <c r="G343" s="1">
        <v>79.209999999999994</v>
      </c>
      <c r="H343" s="1">
        <v>47.34</v>
      </c>
      <c r="I343" s="1">
        <f>TablaVentas[[#This Row],[Precio Unitario]]*TablaVentas[[#This Row],[Cantidad]]</f>
        <v>633.67999999999995</v>
      </c>
      <c r="J343" s="1">
        <f>TablaVentas[[#This Row],[Costo Unitario]]*TablaVentas[[#This Row],[Cantidad]]</f>
        <v>378.72</v>
      </c>
      <c r="K343" s="1">
        <f>TablaVentas[[#This Row],[Total Venta]]-TablaVentas[[#This Row],[Total Costo]]</f>
        <v>254.95999999999992</v>
      </c>
    </row>
    <row r="344" spans="1:11" x14ac:dyDescent="0.25">
      <c r="A344" s="2">
        <v>45160</v>
      </c>
      <c r="B344" s="1" t="s">
        <v>34</v>
      </c>
      <c r="C344" s="1" t="s">
        <v>13</v>
      </c>
      <c r="D344" s="1" t="s">
        <v>14</v>
      </c>
      <c r="E344" s="1" t="s">
        <v>20</v>
      </c>
      <c r="F344" s="1">
        <v>1</v>
      </c>
      <c r="G344" s="1">
        <v>291.37</v>
      </c>
      <c r="H344" s="1">
        <v>200.26</v>
      </c>
      <c r="I344" s="1">
        <f>TablaVentas[[#This Row],[Precio Unitario]]*TablaVentas[[#This Row],[Cantidad]]</f>
        <v>291.37</v>
      </c>
      <c r="J344" s="1">
        <f>TablaVentas[[#This Row],[Costo Unitario]]*TablaVentas[[#This Row],[Cantidad]]</f>
        <v>200.26</v>
      </c>
      <c r="K344" s="1">
        <f>TablaVentas[[#This Row],[Total Venta]]-TablaVentas[[#This Row],[Total Costo]]</f>
        <v>91.110000000000014</v>
      </c>
    </row>
    <row r="345" spans="1:11" x14ac:dyDescent="0.25">
      <c r="A345" s="2">
        <v>45160</v>
      </c>
      <c r="B345" s="1" t="s">
        <v>8</v>
      </c>
      <c r="C345" s="1" t="s">
        <v>9</v>
      </c>
      <c r="D345" s="1" t="s">
        <v>10</v>
      </c>
      <c r="E345" s="1" t="s">
        <v>11</v>
      </c>
      <c r="F345" s="1">
        <v>4</v>
      </c>
      <c r="G345" s="1">
        <v>603.99</v>
      </c>
      <c r="H345" s="1">
        <v>511.67</v>
      </c>
      <c r="I345" s="1">
        <f>TablaVentas[[#This Row],[Precio Unitario]]*TablaVentas[[#This Row],[Cantidad]]</f>
        <v>2415.96</v>
      </c>
      <c r="J345" s="1">
        <f>TablaVentas[[#This Row],[Costo Unitario]]*TablaVentas[[#This Row],[Cantidad]]</f>
        <v>2046.68</v>
      </c>
      <c r="K345" s="1">
        <f>TablaVentas[[#This Row],[Total Venta]]-TablaVentas[[#This Row],[Total Costo]]</f>
        <v>369.28</v>
      </c>
    </row>
    <row r="346" spans="1:11" x14ac:dyDescent="0.25">
      <c r="A346" s="2">
        <v>45161</v>
      </c>
      <c r="B346" s="1" t="s">
        <v>12</v>
      </c>
      <c r="C346" s="1" t="s">
        <v>13</v>
      </c>
      <c r="D346" s="1" t="s">
        <v>33</v>
      </c>
      <c r="E346" s="1" t="s">
        <v>15</v>
      </c>
      <c r="F346" s="1">
        <v>10</v>
      </c>
      <c r="G346" s="1">
        <v>73.430000000000007</v>
      </c>
      <c r="H346" s="1">
        <v>42.03</v>
      </c>
      <c r="I346" s="1">
        <f>TablaVentas[[#This Row],[Precio Unitario]]*TablaVentas[[#This Row],[Cantidad]]</f>
        <v>734.30000000000007</v>
      </c>
      <c r="J346" s="1">
        <f>TablaVentas[[#This Row],[Costo Unitario]]*TablaVentas[[#This Row],[Cantidad]]</f>
        <v>420.3</v>
      </c>
      <c r="K346" s="1">
        <f>TablaVentas[[#This Row],[Total Venta]]-TablaVentas[[#This Row],[Total Costo]]</f>
        <v>314.00000000000006</v>
      </c>
    </row>
    <row r="347" spans="1:11" x14ac:dyDescent="0.25">
      <c r="A347" s="2">
        <v>45161</v>
      </c>
      <c r="B347" s="1" t="s">
        <v>21</v>
      </c>
      <c r="C347" s="1" t="s">
        <v>19</v>
      </c>
      <c r="D347" s="1" t="s">
        <v>31</v>
      </c>
      <c r="E347" s="1" t="s">
        <v>11</v>
      </c>
      <c r="F347" s="1">
        <v>8</v>
      </c>
      <c r="G347" s="1">
        <v>102.22</v>
      </c>
      <c r="H347" s="1">
        <v>53.82</v>
      </c>
      <c r="I347" s="1">
        <f>TablaVentas[[#This Row],[Precio Unitario]]*TablaVentas[[#This Row],[Cantidad]]</f>
        <v>817.76</v>
      </c>
      <c r="J347" s="1">
        <f>TablaVentas[[#This Row],[Costo Unitario]]*TablaVentas[[#This Row],[Cantidad]]</f>
        <v>430.56</v>
      </c>
      <c r="K347" s="1">
        <f>TablaVentas[[#This Row],[Total Venta]]-TablaVentas[[#This Row],[Total Costo]]</f>
        <v>387.2</v>
      </c>
    </row>
    <row r="348" spans="1:11" x14ac:dyDescent="0.25">
      <c r="A348" s="2">
        <v>45161</v>
      </c>
      <c r="B348" s="1" t="s">
        <v>18</v>
      </c>
      <c r="C348" s="1" t="s">
        <v>19</v>
      </c>
      <c r="D348" s="1" t="s">
        <v>33</v>
      </c>
      <c r="E348" s="1" t="s">
        <v>22</v>
      </c>
      <c r="F348" s="1">
        <v>2</v>
      </c>
      <c r="G348" s="1">
        <v>1145.81</v>
      </c>
      <c r="H348" s="1">
        <v>794.16</v>
      </c>
      <c r="I348" s="1">
        <f>TablaVentas[[#This Row],[Precio Unitario]]*TablaVentas[[#This Row],[Cantidad]]</f>
        <v>2291.62</v>
      </c>
      <c r="J348" s="1">
        <f>TablaVentas[[#This Row],[Costo Unitario]]*TablaVentas[[#This Row],[Cantidad]]</f>
        <v>1588.32</v>
      </c>
      <c r="K348" s="1">
        <f>TablaVentas[[#This Row],[Total Venta]]-TablaVentas[[#This Row],[Total Costo]]</f>
        <v>703.3</v>
      </c>
    </row>
    <row r="349" spans="1:11" x14ac:dyDescent="0.25">
      <c r="A349" s="2">
        <v>45163</v>
      </c>
      <c r="B349" s="1" t="s">
        <v>18</v>
      </c>
      <c r="C349" s="1" t="s">
        <v>19</v>
      </c>
      <c r="D349" s="1" t="s">
        <v>14</v>
      </c>
      <c r="E349" s="1" t="s">
        <v>20</v>
      </c>
      <c r="F349" s="1">
        <v>8</v>
      </c>
      <c r="G349" s="1">
        <v>1207.3699999999999</v>
      </c>
      <c r="H349" s="1">
        <v>867.12</v>
      </c>
      <c r="I349" s="1">
        <f>TablaVentas[[#This Row],[Precio Unitario]]*TablaVentas[[#This Row],[Cantidad]]</f>
        <v>9658.9599999999991</v>
      </c>
      <c r="J349" s="1">
        <f>TablaVentas[[#This Row],[Costo Unitario]]*TablaVentas[[#This Row],[Cantidad]]</f>
        <v>6936.96</v>
      </c>
      <c r="K349" s="1">
        <f>TablaVentas[[#This Row],[Total Venta]]-TablaVentas[[#This Row],[Total Costo]]</f>
        <v>2721.9999999999991</v>
      </c>
    </row>
    <row r="350" spans="1:11" x14ac:dyDescent="0.25">
      <c r="A350" s="2">
        <v>45163</v>
      </c>
      <c r="B350" s="1" t="s">
        <v>21</v>
      </c>
      <c r="C350" s="1" t="s">
        <v>19</v>
      </c>
      <c r="D350" s="1" t="s">
        <v>33</v>
      </c>
      <c r="E350" s="1" t="s">
        <v>11</v>
      </c>
      <c r="F350" s="1">
        <v>10</v>
      </c>
      <c r="G350" s="1">
        <v>82.72</v>
      </c>
      <c r="H350" s="1">
        <v>56.68</v>
      </c>
      <c r="I350" s="1">
        <f>TablaVentas[[#This Row],[Precio Unitario]]*TablaVentas[[#This Row],[Cantidad]]</f>
        <v>827.2</v>
      </c>
      <c r="J350" s="1">
        <f>TablaVentas[[#This Row],[Costo Unitario]]*TablaVentas[[#This Row],[Cantidad]]</f>
        <v>566.79999999999995</v>
      </c>
      <c r="K350" s="1">
        <f>TablaVentas[[#This Row],[Total Venta]]-TablaVentas[[#This Row],[Total Costo]]</f>
        <v>260.40000000000009</v>
      </c>
    </row>
    <row r="351" spans="1:11" x14ac:dyDescent="0.25">
      <c r="A351" s="2">
        <v>45165</v>
      </c>
      <c r="B351" s="1" t="s">
        <v>23</v>
      </c>
      <c r="C351" s="1" t="s">
        <v>9</v>
      </c>
      <c r="D351" s="1" t="s">
        <v>27</v>
      </c>
      <c r="E351" s="1" t="s">
        <v>15</v>
      </c>
      <c r="F351" s="1">
        <v>6</v>
      </c>
      <c r="G351" s="1">
        <v>65.569999999999993</v>
      </c>
      <c r="H351" s="1">
        <v>44.62</v>
      </c>
      <c r="I351" s="1">
        <f>TablaVentas[[#This Row],[Precio Unitario]]*TablaVentas[[#This Row],[Cantidad]]</f>
        <v>393.41999999999996</v>
      </c>
      <c r="J351" s="1">
        <f>TablaVentas[[#This Row],[Costo Unitario]]*TablaVentas[[#This Row],[Cantidad]]</f>
        <v>267.71999999999997</v>
      </c>
      <c r="K351" s="1">
        <f>TablaVentas[[#This Row],[Total Venta]]-TablaVentas[[#This Row],[Total Costo]]</f>
        <v>125.69999999999999</v>
      </c>
    </row>
    <row r="352" spans="1:11" x14ac:dyDescent="0.25">
      <c r="A352" s="2">
        <v>45165</v>
      </c>
      <c r="B352" s="1" t="s">
        <v>34</v>
      </c>
      <c r="C352" s="1" t="s">
        <v>13</v>
      </c>
      <c r="D352" s="1" t="s">
        <v>24</v>
      </c>
      <c r="E352" s="1" t="s">
        <v>20</v>
      </c>
      <c r="F352" s="1">
        <v>2</v>
      </c>
      <c r="G352" s="1">
        <v>303.44</v>
      </c>
      <c r="H352" s="1">
        <v>177.89</v>
      </c>
      <c r="I352" s="1">
        <f>TablaVentas[[#This Row],[Precio Unitario]]*TablaVentas[[#This Row],[Cantidad]]</f>
        <v>606.88</v>
      </c>
      <c r="J352" s="1">
        <f>TablaVentas[[#This Row],[Costo Unitario]]*TablaVentas[[#This Row],[Cantidad]]</f>
        <v>355.78</v>
      </c>
      <c r="K352" s="1">
        <f>TablaVentas[[#This Row],[Total Venta]]-TablaVentas[[#This Row],[Total Costo]]</f>
        <v>251.10000000000002</v>
      </c>
    </row>
    <row r="353" spans="1:11" x14ac:dyDescent="0.25">
      <c r="A353" s="2">
        <v>45165</v>
      </c>
      <c r="B353" s="1" t="s">
        <v>26</v>
      </c>
      <c r="C353" s="1" t="s">
        <v>19</v>
      </c>
      <c r="D353" s="1" t="s">
        <v>10</v>
      </c>
      <c r="E353" s="1" t="s">
        <v>11</v>
      </c>
      <c r="F353" s="1">
        <v>5</v>
      </c>
      <c r="G353" s="1">
        <v>40.42</v>
      </c>
      <c r="H353" s="1">
        <v>26.39</v>
      </c>
      <c r="I353" s="1">
        <f>TablaVentas[[#This Row],[Precio Unitario]]*TablaVentas[[#This Row],[Cantidad]]</f>
        <v>202.10000000000002</v>
      </c>
      <c r="J353" s="1">
        <f>TablaVentas[[#This Row],[Costo Unitario]]*TablaVentas[[#This Row],[Cantidad]]</f>
        <v>131.94999999999999</v>
      </c>
      <c r="K353" s="1">
        <f>TablaVentas[[#This Row],[Total Venta]]-TablaVentas[[#This Row],[Total Costo]]</f>
        <v>70.150000000000034</v>
      </c>
    </row>
    <row r="354" spans="1:11" x14ac:dyDescent="0.25">
      <c r="A354" s="2">
        <v>45167</v>
      </c>
      <c r="B354" s="1" t="s">
        <v>23</v>
      </c>
      <c r="C354" s="1" t="s">
        <v>9</v>
      </c>
      <c r="D354" s="1" t="s">
        <v>33</v>
      </c>
      <c r="E354" s="1" t="s">
        <v>22</v>
      </c>
      <c r="F354" s="1">
        <v>8</v>
      </c>
      <c r="G354" s="1">
        <v>65.19</v>
      </c>
      <c r="H354" s="1">
        <v>43.57</v>
      </c>
      <c r="I354" s="1">
        <f>TablaVentas[[#This Row],[Precio Unitario]]*TablaVentas[[#This Row],[Cantidad]]</f>
        <v>521.52</v>
      </c>
      <c r="J354" s="1">
        <f>TablaVentas[[#This Row],[Costo Unitario]]*TablaVentas[[#This Row],[Cantidad]]</f>
        <v>348.56</v>
      </c>
      <c r="K354" s="1">
        <f>TablaVentas[[#This Row],[Total Venta]]-TablaVentas[[#This Row],[Total Costo]]</f>
        <v>172.95999999999998</v>
      </c>
    </row>
    <row r="355" spans="1:11" x14ac:dyDescent="0.25">
      <c r="A355" s="2">
        <v>45168</v>
      </c>
      <c r="B355" s="1" t="s">
        <v>12</v>
      </c>
      <c r="C355" s="1" t="s">
        <v>13</v>
      </c>
      <c r="D355" s="1" t="s">
        <v>33</v>
      </c>
      <c r="E355" s="1" t="s">
        <v>11</v>
      </c>
      <c r="F355" s="1">
        <v>2</v>
      </c>
      <c r="G355" s="1">
        <v>62.02</v>
      </c>
      <c r="H355" s="1">
        <v>37.82</v>
      </c>
      <c r="I355" s="1">
        <f>TablaVentas[[#This Row],[Precio Unitario]]*TablaVentas[[#This Row],[Cantidad]]</f>
        <v>124.04</v>
      </c>
      <c r="J355" s="1">
        <f>TablaVentas[[#This Row],[Costo Unitario]]*TablaVentas[[#This Row],[Cantidad]]</f>
        <v>75.64</v>
      </c>
      <c r="K355" s="1">
        <f>TablaVentas[[#This Row],[Total Venta]]-TablaVentas[[#This Row],[Total Costo]]</f>
        <v>48.400000000000006</v>
      </c>
    </row>
    <row r="356" spans="1:11" x14ac:dyDescent="0.25">
      <c r="A356" s="2">
        <v>45168</v>
      </c>
      <c r="B356" s="1" t="s">
        <v>12</v>
      </c>
      <c r="C356" s="1" t="s">
        <v>13</v>
      </c>
      <c r="D356" s="1" t="s">
        <v>31</v>
      </c>
      <c r="E356" s="1" t="s">
        <v>20</v>
      </c>
      <c r="F356" s="1">
        <v>1</v>
      </c>
      <c r="G356" s="1">
        <v>58.58</v>
      </c>
      <c r="H356" s="1">
        <v>44.75</v>
      </c>
      <c r="I356" s="1">
        <f>TablaVentas[[#This Row],[Precio Unitario]]*TablaVentas[[#This Row],[Cantidad]]</f>
        <v>58.58</v>
      </c>
      <c r="J356" s="1">
        <f>TablaVentas[[#This Row],[Costo Unitario]]*TablaVentas[[#This Row],[Cantidad]]</f>
        <v>44.75</v>
      </c>
      <c r="K356" s="1">
        <f>TablaVentas[[#This Row],[Total Venta]]-TablaVentas[[#This Row],[Total Costo]]</f>
        <v>13.829999999999998</v>
      </c>
    </row>
    <row r="357" spans="1:11" x14ac:dyDescent="0.25">
      <c r="A357" s="2">
        <v>45169</v>
      </c>
      <c r="B357" s="1" t="s">
        <v>29</v>
      </c>
      <c r="C357" s="1" t="s">
        <v>30</v>
      </c>
      <c r="D357" s="1" t="s">
        <v>10</v>
      </c>
      <c r="E357" s="1" t="s">
        <v>22</v>
      </c>
      <c r="F357" s="1">
        <v>6</v>
      </c>
      <c r="G357" s="1">
        <v>409.98</v>
      </c>
      <c r="H357" s="1">
        <v>291.87</v>
      </c>
      <c r="I357" s="1">
        <f>TablaVentas[[#This Row],[Precio Unitario]]*TablaVentas[[#This Row],[Cantidad]]</f>
        <v>2459.88</v>
      </c>
      <c r="J357" s="1">
        <f>TablaVentas[[#This Row],[Costo Unitario]]*TablaVentas[[#This Row],[Cantidad]]</f>
        <v>1751.22</v>
      </c>
      <c r="K357" s="1">
        <f>TablaVentas[[#This Row],[Total Venta]]-TablaVentas[[#This Row],[Total Costo]]</f>
        <v>708.66000000000008</v>
      </c>
    </row>
    <row r="358" spans="1:11" x14ac:dyDescent="0.25">
      <c r="A358" s="2">
        <v>45169</v>
      </c>
      <c r="B358" s="1" t="s">
        <v>16</v>
      </c>
      <c r="C358" s="1" t="s">
        <v>13</v>
      </c>
      <c r="D358" s="1" t="s">
        <v>31</v>
      </c>
      <c r="E358" s="1" t="s">
        <v>15</v>
      </c>
      <c r="F358" s="1">
        <v>5</v>
      </c>
      <c r="G358" s="1">
        <v>58.53</v>
      </c>
      <c r="H358" s="1">
        <v>33.92</v>
      </c>
      <c r="I358" s="1">
        <f>TablaVentas[[#This Row],[Precio Unitario]]*TablaVentas[[#This Row],[Cantidad]]</f>
        <v>292.64999999999998</v>
      </c>
      <c r="J358" s="1">
        <f>TablaVentas[[#This Row],[Costo Unitario]]*TablaVentas[[#This Row],[Cantidad]]</f>
        <v>169.60000000000002</v>
      </c>
      <c r="K358" s="1">
        <f>TablaVentas[[#This Row],[Total Venta]]-TablaVentas[[#This Row],[Total Costo]]</f>
        <v>123.04999999999995</v>
      </c>
    </row>
    <row r="359" spans="1:11" x14ac:dyDescent="0.25">
      <c r="A359" s="2">
        <v>45170</v>
      </c>
      <c r="B359" s="1" t="s">
        <v>32</v>
      </c>
      <c r="C359" s="1" t="s">
        <v>30</v>
      </c>
      <c r="D359" s="1" t="s">
        <v>17</v>
      </c>
      <c r="E359" s="1" t="s">
        <v>22</v>
      </c>
      <c r="F359" s="1">
        <v>9</v>
      </c>
      <c r="G359" s="1">
        <v>353.14</v>
      </c>
      <c r="H359" s="1">
        <v>218.88</v>
      </c>
      <c r="I359" s="1">
        <f>TablaVentas[[#This Row],[Precio Unitario]]*TablaVentas[[#This Row],[Cantidad]]</f>
        <v>3178.2599999999998</v>
      </c>
      <c r="J359" s="1">
        <f>TablaVentas[[#This Row],[Costo Unitario]]*TablaVentas[[#This Row],[Cantidad]]</f>
        <v>1969.92</v>
      </c>
      <c r="K359" s="1">
        <f>TablaVentas[[#This Row],[Total Venta]]-TablaVentas[[#This Row],[Total Costo]]</f>
        <v>1208.3399999999997</v>
      </c>
    </row>
    <row r="360" spans="1:11" x14ac:dyDescent="0.25">
      <c r="A360" s="2">
        <v>45170</v>
      </c>
      <c r="B360" s="1" t="s">
        <v>16</v>
      </c>
      <c r="C360" s="1" t="s">
        <v>13</v>
      </c>
      <c r="D360" s="1" t="s">
        <v>17</v>
      </c>
      <c r="E360" s="1" t="s">
        <v>22</v>
      </c>
      <c r="F360" s="1">
        <v>8</v>
      </c>
      <c r="G360" s="1">
        <v>57.58</v>
      </c>
      <c r="H360" s="1">
        <v>31.79</v>
      </c>
      <c r="I360" s="1">
        <f>TablaVentas[[#This Row],[Precio Unitario]]*TablaVentas[[#This Row],[Cantidad]]</f>
        <v>460.64</v>
      </c>
      <c r="J360" s="1">
        <f>TablaVentas[[#This Row],[Costo Unitario]]*TablaVentas[[#This Row],[Cantidad]]</f>
        <v>254.32</v>
      </c>
      <c r="K360" s="1">
        <f>TablaVentas[[#This Row],[Total Venta]]-TablaVentas[[#This Row],[Total Costo]]</f>
        <v>206.32</v>
      </c>
    </row>
    <row r="361" spans="1:11" x14ac:dyDescent="0.25">
      <c r="A361" s="2">
        <v>45172</v>
      </c>
      <c r="B361" s="1" t="s">
        <v>32</v>
      </c>
      <c r="C361" s="1" t="s">
        <v>30</v>
      </c>
      <c r="D361" s="1" t="s">
        <v>27</v>
      </c>
      <c r="E361" s="1" t="s">
        <v>11</v>
      </c>
      <c r="F361" s="1">
        <v>6</v>
      </c>
      <c r="G361" s="1">
        <v>280.39</v>
      </c>
      <c r="H361" s="1">
        <v>202.54</v>
      </c>
      <c r="I361" s="1">
        <f>TablaVentas[[#This Row],[Precio Unitario]]*TablaVentas[[#This Row],[Cantidad]]</f>
        <v>1682.34</v>
      </c>
      <c r="J361" s="1">
        <f>TablaVentas[[#This Row],[Costo Unitario]]*TablaVentas[[#This Row],[Cantidad]]</f>
        <v>1215.24</v>
      </c>
      <c r="K361" s="1">
        <f>TablaVentas[[#This Row],[Total Venta]]-TablaVentas[[#This Row],[Total Costo]]</f>
        <v>467.09999999999991</v>
      </c>
    </row>
    <row r="362" spans="1:11" x14ac:dyDescent="0.25">
      <c r="A362" s="2">
        <v>45176</v>
      </c>
      <c r="B362" s="1" t="s">
        <v>23</v>
      </c>
      <c r="C362" s="1" t="s">
        <v>9</v>
      </c>
      <c r="D362" s="1" t="s">
        <v>10</v>
      </c>
      <c r="E362" s="1" t="s">
        <v>28</v>
      </c>
      <c r="F362" s="1">
        <v>7</v>
      </c>
      <c r="G362" s="1">
        <v>84.05</v>
      </c>
      <c r="H362" s="1">
        <v>45.88</v>
      </c>
      <c r="I362" s="1">
        <f>TablaVentas[[#This Row],[Precio Unitario]]*TablaVentas[[#This Row],[Cantidad]]</f>
        <v>588.35</v>
      </c>
      <c r="J362" s="1">
        <f>TablaVentas[[#This Row],[Costo Unitario]]*TablaVentas[[#This Row],[Cantidad]]</f>
        <v>321.16000000000003</v>
      </c>
      <c r="K362" s="1">
        <f>TablaVentas[[#This Row],[Total Venta]]-TablaVentas[[#This Row],[Total Costo]]</f>
        <v>267.19</v>
      </c>
    </row>
    <row r="363" spans="1:11" x14ac:dyDescent="0.25">
      <c r="A363" s="2">
        <v>45177</v>
      </c>
      <c r="B363" s="1" t="s">
        <v>12</v>
      </c>
      <c r="C363" s="1" t="s">
        <v>13</v>
      </c>
      <c r="D363" s="1" t="s">
        <v>10</v>
      </c>
      <c r="E363" s="1" t="s">
        <v>15</v>
      </c>
      <c r="F363" s="1">
        <v>5</v>
      </c>
      <c r="G363" s="1">
        <v>58.95</v>
      </c>
      <c r="H363" s="1">
        <v>42.88</v>
      </c>
      <c r="I363" s="1">
        <f>TablaVentas[[#This Row],[Precio Unitario]]*TablaVentas[[#This Row],[Cantidad]]</f>
        <v>294.75</v>
      </c>
      <c r="J363" s="1">
        <f>TablaVentas[[#This Row],[Costo Unitario]]*TablaVentas[[#This Row],[Cantidad]]</f>
        <v>214.4</v>
      </c>
      <c r="K363" s="1">
        <f>TablaVentas[[#This Row],[Total Venta]]-TablaVentas[[#This Row],[Total Costo]]</f>
        <v>80.349999999999994</v>
      </c>
    </row>
    <row r="364" spans="1:11" x14ac:dyDescent="0.25">
      <c r="A364" s="2">
        <v>45179</v>
      </c>
      <c r="B364" s="1" t="s">
        <v>8</v>
      </c>
      <c r="C364" s="1" t="s">
        <v>9</v>
      </c>
      <c r="D364" s="1" t="s">
        <v>24</v>
      </c>
      <c r="E364" s="1" t="s">
        <v>20</v>
      </c>
      <c r="F364" s="1">
        <v>5</v>
      </c>
      <c r="G364" s="1">
        <v>750.84</v>
      </c>
      <c r="H364" s="1">
        <v>511.32</v>
      </c>
      <c r="I364" s="1">
        <f>TablaVentas[[#This Row],[Precio Unitario]]*TablaVentas[[#This Row],[Cantidad]]</f>
        <v>3754.2000000000003</v>
      </c>
      <c r="J364" s="1">
        <f>TablaVentas[[#This Row],[Costo Unitario]]*TablaVentas[[#This Row],[Cantidad]]</f>
        <v>2556.6</v>
      </c>
      <c r="K364" s="1">
        <f>TablaVentas[[#This Row],[Total Venta]]-TablaVentas[[#This Row],[Total Costo]]</f>
        <v>1197.6000000000004</v>
      </c>
    </row>
    <row r="365" spans="1:11" x14ac:dyDescent="0.25">
      <c r="A365" s="2">
        <v>45180</v>
      </c>
      <c r="B365" s="1" t="s">
        <v>26</v>
      </c>
      <c r="C365" s="1" t="s">
        <v>19</v>
      </c>
      <c r="D365" s="1" t="s">
        <v>25</v>
      </c>
      <c r="E365" s="1" t="s">
        <v>11</v>
      </c>
      <c r="F365" s="1">
        <v>10</v>
      </c>
      <c r="G365" s="1">
        <v>40.01</v>
      </c>
      <c r="H365" s="1">
        <v>22.64</v>
      </c>
      <c r="I365" s="1">
        <f>TablaVentas[[#This Row],[Precio Unitario]]*TablaVentas[[#This Row],[Cantidad]]</f>
        <v>400.09999999999997</v>
      </c>
      <c r="J365" s="1">
        <f>TablaVentas[[#This Row],[Costo Unitario]]*TablaVentas[[#This Row],[Cantidad]]</f>
        <v>226.4</v>
      </c>
      <c r="K365" s="1">
        <f>TablaVentas[[#This Row],[Total Venta]]-TablaVentas[[#This Row],[Total Costo]]</f>
        <v>173.69999999999996</v>
      </c>
    </row>
    <row r="366" spans="1:11" x14ac:dyDescent="0.25">
      <c r="A366" s="2">
        <v>45180</v>
      </c>
      <c r="B366" s="1" t="s">
        <v>18</v>
      </c>
      <c r="C366" s="1" t="s">
        <v>19</v>
      </c>
      <c r="D366" s="1" t="s">
        <v>24</v>
      </c>
      <c r="E366" s="1" t="s">
        <v>20</v>
      </c>
      <c r="F366" s="1">
        <v>3</v>
      </c>
      <c r="G366" s="1">
        <v>1188.95</v>
      </c>
      <c r="H366" s="1">
        <v>821.76</v>
      </c>
      <c r="I366" s="1">
        <f>TablaVentas[[#This Row],[Precio Unitario]]*TablaVentas[[#This Row],[Cantidad]]</f>
        <v>3566.8500000000004</v>
      </c>
      <c r="J366" s="1">
        <f>TablaVentas[[#This Row],[Costo Unitario]]*TablaVentas[[#This Row],[Cantidad]]</f>
        <v>2465.2799999999997</v>
      </c>
      <c r="K366" s="1">
        <f>TablaVentas[[#This Row],[Total Venta]]-TablaVentas[[#This Row],[Total Costo]]</f>
        <v>1101.5700000000006</v>
      </c>
    </row>
    <row r="367" spans="1:11" x14ac:dyDescent="0.25">
      <c r="A367" s="2">
        <v>45180</v>
      </c>
      <c r="B367" s="1" t="s">
        <v>32</v>
      </c>
      <c r="C367" s="1" t="s">
        <v>30</v>
      </c>
      <c r="D367" s="1" t="s">
        <v>17</v>
      </c>
      <c r="E367" s="1" t="s">
        <v>28</v>
      </c>
      <c r="F367" s="1">
        <v>7</v>
      </c>
      <c r="G367" s="1">
        <v>310.66000000000003</v>
      </c>
      <c r="H367" s="1">
        <v>193.06</v>
      </c>
      <c r="I367" s="1">
        <f>TablaVentas[[#This Row],[Precio Unitario]]*TablaVentas[[#This Row],[Cantidad]]</f>
        <v>2174.6200000000003</v>
      </c>
      <c r="J367" s="1">
        <f>TablaVentas[[#This Row],[Costo Unitario]]*TablaVentas[[#This Row],[Cantidad]]</f>
        <v>1351.42</v>
      </c>
      <c r="K367" s="1">
        <f>TablaVentas[[#This Row],[Total Venta]]-TablaVentas[[#This Row],[Total Costo]]</f>
        <v>823.20000000000027</v>
      </c>
    </row>
    <row r="368" spans="1:11" x14ac:dyDescent="0.25">
      <c r="A368" s="2">
        <v>45180</v>
      </c>
      <c r="B368" s="1" t="s">
        <v>34</v>
      </c>
      <c r="C368" s="1" t="s">
        <v>13</v>
      </c>
      <c r="D368" s="1" t="s">
        <v>24</v>
      </c>
      <c r="E368" s="1" t="s">
        <v>11</v>
      </c>
      <c r="F368" s="1">
        <v>10</v>
      </c>
      <c r="G368" s="1">
        <v>270.45999999999998</v>
      </c>
      <c r="H368" s="1">
        <v>179.66</v>
      </c>
      <c r="I368" s="1">
        <f>TablaVentas[[#This Row],[Precio Unitario]]*TablaVentas[[#This Row],[Cantidad]]</f>
        <v>2704.6</v>
      </c>
      <c r="J368" s="1">
        <f>TablaVentas[[#This Row],[Costo Unitario]]*TablaVentas[[#This Row],[Cantidad]]</f>
        <v>1796.6</v>
      </c>
      <c r="K368" s="1">
        <f>TablaVentas[[#This Row],[Total Venta]]-TablaVentas[[#This Row],[Total Costo]]</f>
        <v>908</v>
      </c>
    </row>
    <row r="369" spans="1:11" x14ac:dyDescent="0.25">
      <c r="A369" s="2">
        <v>45180</v>
      </c>
      <c r="B369" s="1" t="s">
        <v>23</v>
      </c>
      <c r="C369" s="1" t="s">
        <v>9</v>
      </c>
      <c r="D369" s="1" t="s">
        <v>31</v>
      </c>
      <c r="E369" s="1" t="s">
        <v>11</v>
      </c>
      <c r="F369" s="1">
        <v>2</v>
      </c>
      <c r="G369" s="1">
        <v>65.430000000000007</v>
      </c>
      <c r="H369" s="1">
        <v>44.88</v>
      </c>
      <c r="I369" s="1">
        <f>TablaVentas[[#This Row],[Precio Unitario]]*TablaVentas[[#This Row],[Cantidad]]</f>
        <v>130.86000000000001</v>
      </c>
      <c r="J369" s="1">
        <f>TablaVentas[[#This Row],[Costo Unitario]]*TablaVentas[[#This Row],[Cantidad]]</f>
        <v>89.76</v>
      </c>
      <c r="K369" s="1">
        <f>TablaVentas[[#This Row],[Total Venta]]-TablaVentas[[#This Row],[Total Costo]]</f>
        <v>41.100000000000009</v>
      </c>
    </row>
    <row r="370" spans="1:11" x14ac:dyDescent="0.25">
      <c r="A370" s="2">
        <v>45180</v>
      </c>
      <c r="B370" s="1" t="s">
        <v>32</v>
      </c>
      <c r="C370" s="1" t="s">
        <v>30</v>
      </c>
      <c r="D370" s="1" t="s">
        <v>31</v>
      </c>
      <c r="E370" s="1" t="s">
        <v>28</v>
      </c>
      <c r="F370" s="1">
        <v>4</v>
      </c>
      <c r="G370" s="1">
        <v>313.83</v>
      </c>
      <c r="H370" s="1">
        <v>204.59</v>
      </c>
      <c r="I370" s="1">
        <f>TablaVentas[[#This Row],[Precio Unitario]]*TablaVentas[[#This Row],[Cantidad]]</f>
        <v>1255.32</v>
      </c>
      <c r="J370" s="1">
        <f>TablaVentas[[#This Row],[Costo Unitario]]*TablaVentas[[#This Row],[Cantidad]]</f>
        <v>818.36</v>
      </c>
      <c r="K370" s="1">
        <f>TablaVentas[[#This Row],[Total Venta]]-TablaVentas[[#This Row],[Total Costo]]</f>
        <v>436.95999999999992</v>
      </c>
    </row>
    <row r="371" spans="1:11" x14ac:dyDescent="0.25">
      <c r="A371" s="2">
        <v>45181</v>
      </c>
      <c r="B371" s="1" t="s">
        <v>21</v>
      </c>
      <c r="C371" s="1" t="s">
        <v>19</v>
      </c>
      <c r="D371" s="1" t="s">
        <v>17</v>
      </c>
      <c r="E371" s="1" t="s">
        <v>20</v>
      </c>
      <c r="F371" s="1">
        <v>1</v>
      </c>
      <c r="G371" s="1">
        <v>93.71</v>
      </c>
      <c r="H371" s="1">
        <v>48.11</v>
      </c>
      <c r="I371" s="1">
        <f>TablaVentas[[#This Row],[Precio Unitario]]*TablaVentas[[#This Row],[Cantidad]]</f>
        <v>93.71</v>
      </c>
      <c r="J371" s="1">
        <f>TablaVentas[[#This Row],[Costo Unitario]]*TablaVentas[[#This Row],[Cantidad]]</f>
        <v>48.11</v>
      </c>
      <c r="K371" s="1">
        <f>TablaVentas[[#This Row],[Total Venta]]-TablaVentas[[#This Row],[Total Costo]]</f>
        <v>45.599999999999994</v>
      </c>
    </row>
    <row r="372" spans="1:11" x14ac:dyDescent="0.25">
      <c r="A372" s="2">
        <v>45182</v>
      </c>
      <c r="B372" s="1" t="s">
        <v>18</v>
      </c>
      <c r="C372" s="1" t="s">
        <v>19</v>
      </c>
      <c r="D372" s="1" t="s">
        <v>17</v>
      </c>
      <c r="E372" s="1" t="s">
        <v>22</v>
      </c>
      <c r="F372" s="1">
        <v>10</v>
      </c>
      <c r="G372" s="1">
        <v>1107.22</v>
      </c>
      <c r="H372" s="1">
        <v>815.55</v>
      </c>
      <c r="I372" s="1">
        <f>TablaVentas[[#This Row],[Precio Unitario]]*TablaVentas[[#This Row],[Cantidad]]</f>
        <v>11072.2</v>
      </c>
      <c r="J372" s="1">
        <f>TablaVentas[[#This Row],[Costo Unitario]]*TablaVentas[[#This Row],[Cantidad]]</f>
        <v>8155.5</v>
      </c>
      <c r="K372" s="1">
        <f>TablaVentas[[#This Row],[Total Venta]]-TablaVentas[[#This Row],[Total Costo]]</f>
        <v>2916.7000000000007</v>
      </c>
    </row>
    <row r="373" spans="1:11" x14ac:dyDescent="0.25">
      <c r="A373" s="2">
        <v>45182</v>
      </c>
      <c r="B373" s="1" t="s">
        <v>8</v>
      </c>
      <c r="C373" s="1" t="s">
        <v>9</v>
      </c>
      <c r="D373" s="1" t="s">
        <v>24</v>
      </c>
      <c r="E373" s="1" t="s">
        <v>15</v>
      </c>
      <c r="F373" s="1">
        <v>4</v>
      </c>
      <c r="G373" s="1">
        <v>775.14</v>
      </c>
      <c r="H373" s="1">
        <v>515.33000000000004</v>
      </c>
      <c r="I373" s="1">
        <f>TablaVentas[[#This Row],[Precio Unitario]]*TablaVentas[[#This Row],[Cantidad]]</f>
        <v>3100.56</v>
      </c>
      <c r="J373" s="1">
        <f>TablaVentas[[#This Row],[Costo Unitario]]*TablaVentas[[#This Row],[Cantidad]]</f>
        <v>2061.3200000000002</v>
      </c>
      <c r="K373" s="1">
        <f>TablaVentas[[#This Row],[Total Venta]]-TablaVentas[[#This Row],[Total Costo]]</f>
        <v>1039.2399999999998</v>
      </c>
    </row>
    <row r="374" spans="1:11" x14ac:dyDescent="0.25">
      <c r="A374" s="2">
        <v>45182</v>
      </c>
      <c r="B374" s="1" t="s">
        <v>32</v>
      </c>
      <c r="C374" s="1" t="s">
        <v>30</v>
      </c>
      <c r="D374" s="1" t="s">
        <v>31</v>
      </c>
      <c r="E374" s="1" t="s">
        <v>22</v>
      </c>
      <c r="F374" s="1">
        <v>2</v>
      </c>
      <c r="G374" s="1">
        <v>286.14</v>
      </c>
      <c r="H374" s="1">
        <v>227.86</v>
      </c>
      <c r="I374" s="1">
        <f>TablaVentas[[#This Row],[Precio Unitario]]*TablaVentas[[#This Row],[Cantidad]]</f>
        <v>572.28</v>
      </c>
      <c r="J374" s="1">
        <f>TablaVentas[[#This Row],[Costo Unitario]]*TablaVentas[[#This Row],[Cantidad]]</f>
        <v>455.72</v>
      </c>
      <c r="K374" s="1">
        <f>TablaVentas[[#This Row],[Total Venta]]-TablaVentas[[#This Row],[Total Costo]]</f>
        <v>116.55999999999995</v>
      </c>
    </row>
    <row r="375" spans="1:11" x14ac:dyDescent="0.25">
      <c r="A375" s="2">
        <v>45182</v>
      </c>
      <c r="B375" s="1" t="s">
        <v>12</v>
      </c>
      <c r="C375" s="1" t="s">
        <v>13</v>
      </c>
      <c r="D375" s="1" t="s">
        <v>27</v>
      </c>
      <c r="E375" s="1" t="s">
        <v>11</v>
      </c>
      <c r="F375" s="1">
        <v>1</v>
      </c>
      <c r="G375" s="1">
        <v>55.31</v>
      </c>
      <c r="H375" s="1">
        <v>39.090000000000003</v>
      </c>
      <c r="I375" s="1">
        <f>TablaVentas[[#This Row],[Precio Unitario]]*TablaVentas[[#This Row],[Cantidad]]</f>
        <v>55.31</v>
      </c>
      <c r="J375" s="1">
        <f>TablaVentas[[#This Row],[Costo Unitario]]*TablaVentas[[#This Row],[Cantidad]]</f>
        <v>39.090000000000003</v>
      </c>
      <c r="K375" s="1">
        <f>TablaVentas[[#This Row],[Total Venta]]-TablaVentas[[#This Row],[Total Costo]]</f>
        <v>16.22</v>
      </c>
    </row>
    <row r="376" spans="1:11" x14ac:dyDescent="0.25">
      <c r="A376" s="2">
        <v>45183</v>
      </c>
      <c r="B376" s="1" t="s">
        <v>29</v>
      </c>
      <c r="C376" s="1" t="s">
        <v>30</v>
      </c>
      <c r="D376" s="1" t="s">
        <v>10</v>
      </c>
      <c r="E376" s="1" t="s">
        <v>22</v>
      </c>
      <c r="F376" s="1">
        <v>10</v>
      </c>
      <c r="G376" s="1">
        <v>503.51</v>
      </c>
      <c r="H376" s="1">
        <v>288.74</v>
      </c>
      <c r="I376" s="1">
        <f>TablaVentas[[#This Row],[Precio Unitario]]*TablaVentas[[#This Row],[Cantidad]]</f>
        <v>5035.1000000000004</v>
      </c>
      <c r="J376" s="1">
        <f>TablaVentas[[#This Row],[Costo Unitario]]*TablaVentas[[#This Row],[Cantidad]]</f>
        <v>2887.4</v>
      </c>
      <c r="K376" s="1">
        <f>TablaVentas[[#This Row],[Total Venta]]-TablaVentas[[#This Row],[Total Costo]]</f>
        <v>2147.7000000000003</v>
      </c>
    </row>
    <row r="377" spans="1:11" x14ac:dyDescent="0.25">
      <c r="A377" s="2">
        <v>45184</v>
      </c>
      <c r="B377" s="1" t="s">
        <v>16</v>
      </c>
      <c r="C377" s="1" t="s">
        <v>13</v>
      </c>
      <c r="D377" s="1" t="s">
        <v>14</v>
      </c>
      <c r="E377" s="1" t="s">
        <v>15</v>
      </c>
      <c r="F377" s="1">
        <v>2</v>
      </c>
      <c r="G377" s="1">
        <v>58.49</v>
      </c>
      <c r="H377" s="1">
        <v>37.33</v>
      </c>
      <c r="I377" s="1">
        <f>TablaVentas[[#This Row],[Precio Unitario]]*TablaVentas[[#This Row],[Cantidad]]</f>
        <v>116.98</v>
      </c>
      <c r="J377" s="1">
        <f>TablaVentas[[#This Row],[Costo Unitario]]*TablaVentas[[#This Row],[Cantidad]]</f>
        <v>74.66</v>
      </c>
      <c r="K377" s="1">
        <f>TablaVentas[[#This Row],[Total Venta]]-TablaVentas[[#This Row],[Total Costo]]</f>
        <v>42.320000000000007</v>
      </c>
    </row>
    <row r="378" spans="1:11" x14ac:dyDescent="0.25">
      <c r="A378" s="2">
        <v>45186</v>
      </c>
      <c r="B378" s="1" t="s">
        <v>21</v>
      </c>
      <c r="C378" s="1" t="s">
        <v>19</v>
      </c>
      <c r="D378" s="1" t="s">
        <v>27</v>
      </c>
      <c r="E378" s="1" t="s">
        <v>15</v>
      </c>
      <c r="F378" s="1">
        <v>1</v>
      </c>
      <c r="G378" s="1">
        <v>75.87</v>
      </c>
      <c r="H378" s="1">
        <v>46.98</v>
      </c>
      <c r="I378" s="1">
        <f>TablaVentas[[#This Row],[Precio Unitario]]*TablaVentas[[#This Row],[Cantidad]]</f>
        <v>75.87</v>
      </c>
      <c r="J378" s="1">
        <f>TablaVentas[[#This Row],[Costo Unitario]]*TablaVentas[[#This Row],[Cantidad]]</f>
        <v>46.98</v>
      </c>
      <c r="K378" s="1">
        <f>TablaVentas[[#This Row],[Total Venta]]-TablaVentas[[#This Row],[Total Costo]]</f>
        <v>28.890000000000008</v>
      </c>
    </row>
    <row r="379" spans="1:11" x14ac:dyDescent="0.25">
      <c r="A379" s="2">
        <v>45186</v>
      </c>
      <c r="B379" s="1" t="s">
        <v>32</v>
      </c>
      <c r="C379" s="1" t="s">
        <v>30</v>
      </c>
      <c r="D379" s="1" t="s">
        <v>17</v>
      </c>
      <c r="E379" s="1" t="s">
        <v>22</v>
      </c>
      <c r="F379" s="1">
        <v>3</v>
      </c>
      <c r="G379" s="1">
        <v>298.16000000000003</v>
      </c>
      <c r="H379" s="1">
        <v>194.27</v>
      </c>
      <c r="I379" s="1">
        <f>TablaVentas[[#This Row],[Precio Unitario]]*TablaVentas[[#This Row],[Cantidad]]</f>
        <v>894.48</v>
      </c>
      <c r="J379" s="1">
        <f>TablaVentas[[#This Row],[Costo Unitario]]*TablaVentas[[#This Row],[Cantidad]]</f>
        <v>582.81000000000006</v>
      </c>
      <c r="K379" s="1">
        <f>TablaVentas[[#This Row],[Total Venta]]-TablaVentas[[#This Row],[Total Costo]]</f>
        <v>311.66999999999996</v>
      </c>
    </row>
    <row r="380" spans="1:11" x14ac:dyDescent="0.25">
      <c r="A380" s="2">
        <v>45187</v>
      </c>
      <c r="B380" s="1" t="s">
        <v>26</v>
      </c>
      <c r="C380" s="1" t="s">
        <v>19</v>
      </c>
      <c r="D380" s="1" t="s">
        <v>14</v>
      </c>
      <c r="E380" s="1" t="s">
        <v>22</v>
      </c>
      <c r="F380" s="1">
        <v>6</v>
      </c>
      <c r="G380" s="1">
        <v>39.46</v>
      </c>
      <c r="H380" s="1">
        <v>26.29</v>
      </c>
      <c r="I380" s="1">
        <f>TablaVentas[[#This Row],[Precio Unitario]]*TablaVentas[[#This Row],[Cantidad]]</f>
        <v>236.76</v>
      </c>
      <c r="J380" s="1">
        <f>TablaVentas[[#This Row],[Costo Unitario]]*TablaVentas[[#This Row],[Cantidad]]</f>
        <v>157.74</v>
      </c>
      <c r="K380" s="1">
        <f>TablaVentas[[#This Row],[Total Venta]]-TablaVentas[[#This Row],[Total Costo]]</f>
        <v>79.019999999999982</v>
      </c>
    </row>
    <row r="381" spans="1:11" x14ac:dyDescent="0.25">
      <c r="A381" s="2">
        <v>45187</v>
      </c>
      <c r="B381" s="1" t="s">
        <v>29</v>
      </c>
      <c r="C381" s="1" t="s">
        <v>30</v>
      </c>
      <c r="D381" s="1" t="s">
        <v>24</v>
      </c>
      <c r="E381" s="1" t="s">
        <v>15</v>
      </c>
      <c r="F381" s="1">
        <v>7</v>
      </c>
      <c r="G381" s="1">
        <v>429.46</v>
      </c>
      <c r="H381" s="1">
        <v>285.47000000000003</v>
      </c>
      <c r="I381" s="1">
        <f>TablaVentas[[#This Row],[Precio Unitario]]*TablaVentas[[#This Row],[Cantidad]]</f>
        <v>3006.22</v>
      </c>
      <c r="J381" s="1">
        <f>TablaVentas[[#This Row],[Costo Unitario]]*TablaVentas[[#This Row],[Cantidad]]</f>
        <v>1998.2900000000002</v>
      </c>
      <c r="K381" s="1">
        <f>TablaVentas[[#This Row],[Total Venta]]-TablaVentas[[#This Row],[Total Costo]]</f>
        <v>1007.9299999999996</v>
      </c>
    </row>
    <row r="382" spans="1:11" x14ac:dyDescent="0.25">
      <c r="A382" s="2">
        <v>45187</v>
      </c>
      <c r="B382" s="1" t="s">
        <v>21</v>
      </c>
      <c r="C382" s="1" t="s">
        <v>19</v>
      </c>
      <c r="D382" s="1" t="s">
        <v>33</v>
      </c>
      <c r="E382" s="1" t="s">
        <v>28</v>
      </c>
      <c r="F382" s="1">
        <v>1</v>
      </c>
      <c r="G382" s="1">
        <v>94.04</v>
      </c>
      <c r="H382" s="1">
        <v>47.94</v>
      </c>
      <c r="I382" s="1">
        <f>TablaVentas[[#This Row],[Precio Unitario]]*TablaVentas[[#This Row],[Cantidad]]</f>
        <v>94.04</v>
      </c>
      <c r="J382" s="1">
        <f>TablaVentas[[#This Row],[Costo Unitario]]*TablaVentas[[#This Row],[Cantidad]]</f>
        <v>47.94</v>
      </c>
      <c r="K382" s="1">
        <f>TablaVentas[[#This Row],[Total Venta]]-TablaVentas[[#This Row],[Total Costo]]</f>
        <v>46.100000000000009</v>
      </c>
    </row>
    <row r="383" spans="1:11" x14ac:dyDescent="0.25">
      <c r="A383" s="2">
        <v>45188</v>
      </c>
      <c r="B383" s="1" t="s">
        <v>8</v>
      </c>
      <c r="C383" s="1" t="s">
        <v>9</v>
      </c>
      <c r="D383" s="1" t="s">
        <v>25</v>
      </c>
      <c r="E383" s="1" t="s">
        <v>20</v>
      </c>
      <c r="F383" s="1">
        <v>1</v>
      </c>
      <c r="G383" s="1">
        <v>657.11</v>
      </c>
      <c r="H383" s="1">
        <v>447.71</v>
      </c>
      <c r="I383" s="1">
        <f>TablaVentas[[#This Row],[Precio Unitario]]*TablaVentas[[#This Row],[Cantidad]]</f>
        <v>657.11</v>
      </c>
      <c r="J383" s="1">
        <f>TablaVentas[[#This Row],[Costo Unitario]]*TablaVentas[[#This Row],[Cantidad]]</f>
        <v>447.71</v>
      </c>
      <c r="K383" s="1">
        <f>TablaVentas[[#This Row],[Total Venta]]-TablaVentas[[#This Row],[Total Costo]]</f>
        <v>209.40000000000003</v>
      </c>
    </row>
    <row r="384" spans="1:11" x14ac:dyDescent="0.25">
      <c r="A384" s="2">
        <v>45188</v>
      </c>
      <c r="B384" s="1" t="s">
        <v>29</v>
      </c>
      <c r="C384" s="1" t="s">
        <v>30</v>
      </c>
      <c r="D384" s="1" t="s">
        <v>27</v>
      </c>
      <c r="E384" s="1" t="s">
        <v>15</v>
      </c>
      <c r="F384" s="1">
        <v>5</v>
      </c>
      <c r="G384" s="1">
        <v>447.56</v>
      </c>
      <c r="H384" s="1">
        <v>288.58999999999997</v>
      </c>
      <c r="I384" s="1">
        <f>TablaVentas[[#This Row],[Precio Unitario]]*TablaVentas[[#This Row],[Cantidad]]</f>
        <v>2237.8000000000002</v>
      </c>
      <c r="J384" s="1">
        <f>TablaVentas[[#This Row],[Costo Unitario]]*TablaVentas[[#This Row],[Cantidad]]</f>
        <v>1442.9499999999998</v>
      </c>
      <c r="K384" s="1">
        <f>TablaVentas[[#This Row],[Total Venta]]-TablaVentas[[#This Row],[Total Costo]]</f>
        <v>794.85000000000036</v>
      </c>
    </row>
    <row r="385" spans="1:11" x14ac:dyDescent="0.25">
      <c r="A385" s="2">
        <v>45188</v>
      </c>
      <c r="B385" s="1" t="s">
        <v>29</v>
      </c>
      <c r="C385" s="1" t="s">
        <v>30</v>
      </c>
      <c r="D385" s="1" t="s">
        <v>25</v>
      </c>
      <c r="E385" s="1" t="s">
        <v>15</v>
      </c>
      <c r="F385" s="1">
        <v>7</v>
      </c>
      <c r="G385" s="1">
        <v>440.04</v>
      </c>
      <c r="H385" s="1">
        <v>320.08</v>
      </c>
      <c r="I385" s="1">
        <f>TablaVentas[[#This Row],[Precio Unitario]]*TablaVentas[[#This Row],[Cantidad]]</f>
        <v>3080.28</v>
      </c>
      <c r="J385" s="1">
        <f>TablaVentas[[#This Row],[Costo Unitario]]*TablaVentas[[#This Row],[Cantidad]]</f>
        <v>2240.56</v>
      </c>
      <c r="K385" s="1">
        <f>TablaVentas[[#This Row],[Total Venta]]-TablaVentas[[#This Row],[Total Costo]]</f>
        <v>839.72000000000025</v>
      </c>
    </row>
    <row r="386" spans="1:11" x14ac:dyDescent="0.25">
      <c r="A386" s="2">
        <v>45189</v>
      </c>
      <c r="B386" s="1" t="s">
        <v>12</v>
      </c>
      <c r="C386" s="1" t="s">
        <v>13</v>
      </c>
      <c r="D386" s="1" t="s">
        <v>14</v>
      </c>
      <c r="E386" s="1" t="s">
        <v>28</v>
      </c>
      <c r="F386" s="1">
        <v>4</v>
      </c>
      <c r="G386" s="1">
        <v>66.760000000000005</v>
      </c>
      <c r="H386" s="1">
        <v>43.38</v>
      </c>
      <c r="I386" s="1">
        <f>TablaVentas[[#This Row],[Precio Unitario]]*TablaVentas[[#This Row],[Cantidad]]</f>
        <v>267.04000000000002</v>
      </c>
      <c r="J386" s="1">
        <f>TablaVentas[[#This Row],[Costo Unitario]]*TablaVentas[[#This Row],[Cantidad]]</f>
        <v>173.52</v>
      </c>
      <c r="K386" s="1">
        <f>TablaVentas[[#This Row],[Total Venta]]-TablaVentas[[#This Row],[Total Costo]]</f>
        <v>93.52000000000001</v>
      </c>
    </row>
    <row r="387" spans="1:11" x14ac:dyDescent="0.25">
      <c r="A387" s="2">
        <v>45190</v>
      </c>
      <c r="B387" s="1" t="s">
        <v>23</v>
      </c>
      <c r="C387" s="1" t="s">
        <v>9</v>
      </c>
      <c r="D387" s="1" t="s">
        <v>17</v>
      </c>
      <c r="E387" s="1" t="s">
        <v>20</v>
      </c>
      <c r="F387" s="1">
        <v>10</v>
      </c>
      <c r="G387" s="1">
        <v>85.71</v>
      </c>
      <c r="H387" s="1">
        <v>45.51</v>
      </c>
      <c r="I387" s="1">
        <f>TablaVentas[[#This Row],[Precio Unitario]]*TablaVentas[[#This Row],[Cantidad]]</f>
        <v>857.09999999999991</v>
      </c>
      <c r="J387" s="1">
        <f>TablaVentas[[#This Row],[Costo Unitario]]*TablaVentas[[#This Row],[Cantidad]]</f>
        <v>455.09999999999997</v>
      </c>
      <c r="K387" s="1">
        <f>TablaVentas[[#This Row],[Total Venta]]-TablaVentas[[#This Row],[Total Costo]]</f>
        <v>401.99999999999994</v>
      </c>
    </row>
    <row r="388" spans="1:11" x14ac:dyDescent="0.25">
      <c r="A388" s="2">
        <v>45191</v>
      </c>
      <c r="B388" s="1" t="s">
        <v>21</v>
      </c>
      <c r="C388" s="1" t="s">
        <v>19</v>
      </c>
      <c r="D388" s="1" t="s">
        <v>14</v>
      </c>
      <c r="E388" s="1" t="s">
        <v>20</v>
      </c>
      <c r="F388" s="1">
        <v>3</v>
      </c>
      <c r="G388" s="1">
        <v>91.99</v>
      </c>
      <c r="H388" s="1">
        <v>56.59</v>
      </c>
      <c r="I388" s="1">
        <f>TablaVentas[[#This Row],[Precio Unitario]]*TablaVentas[[#This Row],[Cantidad]]</f>
        <v>275.96999999999997</v>
      </c>
      <c r="J388" s="1">
        <f>TablaVentas[[#This Row],[Costo Unitario]]*TablaVentas[[#This Row],[Cantidad]]</f>
        <v>169.77</v>
      </c>
      <c r="K388" s="1">
        <f>TablaVentas[[#This Row],[Total Venta]]-TablaVentas[[#This Row],[Total Costo]]</f>
        <v>106.19999999999996</v>
      </c>
    </row>
    <row r="389" spans="1:11" x14ac:dyDescent="0.25">
      <c r="A389" s="2">
        <v>45191</v>
      </c>
      <c r="B389" s="1" t="s">
        <v>21</v>
      </c>
      <c r="C389" s="1" t="s">
        <v>19</v>
      </c>
      <c r="D389" s="1" t="s">
        <v>14</v>
      </c>
      <c r="E389" s="1" t="s">
        <v>20</v>
      </c>
      <c r="F389" s="1">
        <v>9</v>
      </c>
      <c r="G389" s="1">
        <v>84.69</v>
      </c>
      <c r="H389" s="1">
        <v>48.97</v>
      </c>
      <c r="I389" s="1">
        <f>TablaVentas[[#This Row],[Precio Unitario]]*TablaVentas[[#This Row],[Cantidad]]</f>
        <v>762.21</v>
      </c>
      <c r="J389" s="1">
        <f>TablaVentas[[#This Row],[Costo Unitario]]*TablaVentas[[#This Row],[Cantidad]]</f>
        <v>440.73</v>
      </c>
      <c r="K389" s="1">
        <f>TablaVentas[[#This Row],[Total Venta]]-TablaVentas[[#This Row],[Total Costo]]</f>
        <v>321.48</v>
      </c>
    </row>
    <row r="390" spans="1:11" x14ac:dyDescent="0.25">
      <c r="A390" s="2">
        <v>45191</v>
      </c>
      <c r="B390" s="1" t="s">
        <v>21</v>
      </c>
      <c r="C390" s="1" t="s">
        <v>19</v>
      </c>
      <c r="D390" s="1" t="s">
        <v>31</v>
      </c>
      <c r="E390" s="1" t="s">
        <v>20</v>
      </c>
      <c r="F390" s="1">
        <v>4</v>
      </c>
      <c r="G390" s="1">
        <v>92.95</v>
      </c>
      <c r="H390" s="1">
        <v>48.92</v>
      </c>
      <c r="I390" s="1">
        <f>TablaVentas[[#This Row],[Precio Unitario]]*TablaVentas[[#This Row],[Cantidad]]</f>
        <v>371.8</v>
      </c>
      <c r="J390" s="1">
        <f>TablaVentas[[#This Row],[Costo Unitario]]*TablaVentas[[#This Row],[Cantidad]]</f>
        <v>195.68</v>
      </c>
      <c r="K390" s="1">
        <f>TablaVentas[[#This Row],[Total Venta]]-TablaVentas[[#This Row],[Total Costo]]</f>
        <v>176.12</v>
      </c>
    </row>
    <row r="391" spans="1:11" x14ac:dyDescent="0.25">
      <c r="A391" s="2">
        <v>45192</v>
      </c>
      <c r="B391" s="1" t="s">
        <v>23</v>
      </c>
      <c r="C391" s="1" t="s">
        <v>9</v>
      </c>
      <c r="D391" s="1" t="s">
        <v>10</v>
      </c>
      <c r="E391" s="1" t="s">
        <v>20</v>
      </c>
      <c r="F391" s="1">
        <v>7</v>
      </c>
      <c r="G391" s="1">
        <v>65.22</v>
      </c>
      <c r="H391" s="1">
        <v>43.31</v>
      </c>
      <c r="I391" s="1">
        <f>TablaVentas[[#This Row],[Precio Unitario]]*TablaVentas[[#This Row],[Cantidad]]</f>
        <v>456.53999999999996</v>
      </c>
      <c r="J391" s="1">
        <f>TablaVentas[[#This Row],[Costo Unitario]]*TablaVentas[[#This Row],[Cantidad]]</f>
        <v>303.17</v>
      </c>
      <c r="K391" s="1">
        <f>TablaVentas[[#This Row],[Total Venta]]-TablaVentas[[#This Row],[Total Costo]]</f>
        <v>153.36999999999995</v>
      </c>
    </row>
    <row r="392" spans="1:11" x14ac:dyDescent="0.25">
      <c r="A392" s="2">
        <v>45193</v>
      </c>
      <c r="B392" s="1" t="s">
        <v>8</v>
      </c>
      <c r="C392" s="1" t="s">
        <v>9</v>
      </c>
      <c r="D392" s="1" t="s">
        <v>33</v>
      </c>
      <c r="E392" s="1" t="s">
        <v>20</v>
      </c>
      <c r="F392" s="1">
        <v>5</v>
      </c>
      <c r="G392" s="1">
        <v>694.89</v>
      </c>
      <c r="H392" s="1">
        <v>436.8</v>
      </c>
      <c r="I392" s="1">
        <f>TablaVentas[[#This Row],[Precio Unitario]]*TablaVentas[[#This Row],[Cantidad]]</f>
        <v>3474.45</v>
      </c>
      <c r="J392" s="1">
        <f>TablaVentas[[#This Row],[Costo Unitario]]*TablaVentas[[#This Row],[Cantidad]]</f>
        <v>2184</v>
      </c>
      <c r="K392" s="1">
        <f>TablaVentas[[#This Row],[Total Venta]]-TablaVentas[[#This Row],[Total Costo]]</f>
        <v>1290.4499999999998</v>
      </c>
    </row>
    <row r="393" spans="1:11" x14ac:dyDescent="0.25">
      <c r="A393" s="2">
        <v>45195</v>
      </c>
      <c r="B393" s="1" t="s">
        <v>18</v>
      </c>
      <c r="C393" s="1" t="s">
        <v>19</v>
      </c>
      <c r="D393" s="1" t="s">
        <v>10</v>
      </c>
      <c r="E393" s="1" t="s">
        <v>15</v>
      </c>
      <c r="F393" s="1">
        <v>4</v>
      </c>
      <c r="G393" s="1">
        <v>1182.45</v>
      </c>
      <c r="H393" s="1">
        <v>815.66</v>
      </c>
      <c r="I393" s="1">
        <f>TablaVentas[[#This Row],[Precio Unitario]]*TablaVentas[[#This Row],[Cantidad]]</f>
        <v>4729.8</v>
      </c>
      <c r="J393" s="1">
        <f>TablaVentas[[#This Row],[Costo Unitario]]*TablaVentas[[#This Row],[Cantidad]]</f>
        <v>3262.64</v>
      </c>
      <c r="K393" s="1">
        <f>TablaVentas[[#This Row],[Total Venta]]-TablaVentas[[#This Row],[Total Costo]]</f>
        <v>1467.1600000000003</v>
      </c>
    </row>
    <row r="394" spans="1:11" x14ac:dyDescent="0.25">
      <c r="A394" s="2">
        <v>45198</v>
      </c>
      <c r="B394" s="1" t="s">
        <v>29</v>
      </c>
      <c r="C394" s="1" t="s">
        <v>30</v>
      </c>
      <c r="D394" s="1" t="s">
        <v>10</v>
      </c>
      <c r="E394" s="1" t="s">
        <v>11</v>
      </c>
      <c r="F394" s="1">
        <v>4</v>
      </c>
      <c r="G394" s="1">
        <v>515.04999999999995</v>
      </c>
      <c r="H394" s="1">
        <v>318.89</v>
      </c>
      <c r="I394" s="1">
        <f>TablaVentas[[#This Row],[Precio Unitario]]*TablaVentas[[#This Row],[Cantidad]]</f>
        <v>2060.1999999999998</v>
      </c>
      <c r="J394" s="1">
        <f>TablaVentas[[#This Row],[Costo Unitario]]*TablaVentas[[#This Row],[Cantidad]]</f>
        <v>1275.56</v>
      </c>
      <c r="K394" s="1">
        <f>TablaVentas[[#This Row],[Total Venta]]-TablaVentas[[#This Row],[Total Costo]]</f>
        <v>784.63999999999987</v>
      </c>
    </row>
    <row r="395" spans="1:11" x14ac:dyDescent="0.25">
      <c r="A395" s="2">
        <v>45199</v>
      </c>
      <c r="B395" s="1" t="s">
        <v>16</v>
      </c>
      <c r="C395" s="1" t="s">
        <v>13</v>
      </c>
      <c r="D395" s="1" t="s">
        <v>17</v>
      </c>
      <c r="E395" s="1" t="s">
        <v>15</v>
      </c>
      <c r="F395" s="1">
        <v>10</v>
      </c>
      <c r="G395" s="1">
        <v>52.76</v>
      </c>
      <c r="H395" s="1">
        <v>35.17</v>
      </c>
      <c r="I395" s="1">
        <f>TablaVentas[[#This Row],[Precio Unitario]]*TablaVentas[[#This Row],[Cantidad]]</f>
        <v>527.6</v>
      </c>
      <c r="J395" s="1">
        <f>TablaVentas[[#This Row],[Costo Unitario]]*TablaVentas[[#This Row],[Cantidad]]</f>
        <v>351.70000000000005</v>
      </c>
      <c r="K395" s="1">
        <f>TablaVentas[[#This Row],[Total Venta]]-TablaVentas[[#This Row],[Total Costo]]</f>
        <v>175.89999999999998</v>
      </c>
    </row>
    <row r="396" spans="1:11" x14ac:dyDescent="0.25">
      <c r="A396" s="2">
        <v>45199</v>
      </c>
      <c r="B396" s="1" t="s">
        <v>32</v>
      </c>
      <c r="C396" s="1" t="s">
        <v>30</v>
      </c>
      <c r="D396" s="1" t="s">
        <v>17</v>
      </c>
      <c r="E396" s="1" t="s">
        <v>11</v>
      </c>
      <c r="F396" s="1">
        <v>5</v>
      </c>
      <c r="G396" s="1">
        <v>294.66000000000003</v>
      </c>
      <c r="H396" s="1">
        <v>225.89</v>
      </c>
      <c r="I396" s="1">
        <f>TablaVentas[[#This Row],[Precio Unitario]]*TablaVentas[[#This Row],[Cantidad]]</f>
        <v>1473.3000000000002</v>
      </c>
      <c r="J396" s="1">
        <f>TablaVentas[[#This Row],[Costo Unitario]]*TablaVentas[[#This Row],[Cantidad]]</f>
        <v>1129.4499999999998</v>
      </c>
      <c r="K396" s="1">
        <f>TablaVentas[[#This Row],[Total Venta]]-TablaVentas[[#This Row],[Total Costo]]</f>
        <v>343.85000000000036</v>
      </c>
    </row>
    <row r="397" spans="1:11" x14ac:dyDescent="0.25">
      <c r="A397" s="2">
        <v>45199</v>
      </c>
      <c r="B397" s="1" t="s">
        <v>32</v>
      </c>
      <c r="C397" s="1" t="s">
        <v>30</v>
      </c>
      <c r="D397" s="1" t="s">
        <v>10</v>
      </c>
      <c r="E397" s="1" t="s">
        <v>15</v>
      </c>
      <c r="F397" s="1">
        <v>10</v>
      </c>
      <c r="G397" s="1">
        <v>315.74</v>
      </c>
      <c r="H397" s="1">
        <v>198.59</v>
      </c>
      <c r="I397" s="1">
        <f>TablaVentas[[#This Row],[Precio Unitario]]*TablaVentas[[#This Row],[Cantidad]]</f>
        <v>3157.4</v>
      </c>
      <c r="J397" s="1">
        <f>TablaVentas[[#This Row],[Costo Unitario]]*TablaVentas[[#This Row],[Cantidad]]</f>
        <v>1985.9</v>
      </c>
      <c r="K397" s="1">
        <f>TablaVentas[[#This Row],[Total Venta]]-TablaVentas[[#This Row],[Total Costo]]</f>
        <v>1171.5</v>
      </c>
    </row>
    <row r="398" spans="1:11" x14ac:dyDescent="0.25">
      <c r="A398" s="2">
        <v>45201</v>
      </c>
      <c r="B398" s="1" t="s">
        <v>23</v>
      </c>
      <c r="C398" s="1" t="s">
        <v>9</v>
      </c>
      <c r="D398" s="1" t="s">
        <v>27</v>
      </c>
      <c r="E398" s="1" t="s">
        <v>28</v>
      </c>
      <c r="F398" s="1">
        <v>6</v>
      </c>
      <c r="G398" s="1">
        <v>75.5</v>
      </c>
      <c r="H398" s="1">
        <v>41.96</v>
      </c>
      <c r="I398" s="1">
        <f>TablaVentas[[#This Row],[Precio Unitario]]*TablaVentas[[#This Row],[Cantidad]]</f>
        <v>453</v>
      </c>
      <c r="J398" s="1">
        <f>TablaVentas[[#This Row],[Costo Unitario]]*TablaVentas[[#This Row],[Cantidad]]</f>
        <v>251.76</v>
      </c>
      <c r="K398" s="1">
        <f>TablaVentas[[#This Row],[Total Venta]]-TablaVentas[[#This Row],[Total Costo]]</f>
        <v>201.24</v>
      </c>
    </row>
    <row r="399" spans="1:11" x14ac:dyDescent="0.25">
      <c r="A399" s="2">
        <v>45202</v>
      </c>
      <c r="B399" s="1" t="s">
        <v>8</v>
      </c>
      <c r="C399" s="1" t="s">
        <v>9</v>
      </c>
      <c r="D399" s="1" t="s">
        <v>17</v>
      </c>
      <c r="E399" s="1" t="s">
        <v>20</v>
      </c>
      <c r="F399" s="1">
        <v>10</v>
      </c>
      <c r="G399" s="1">
        <v>720.45</v>
      </c>
      <c r="H399" s="1">
        <v>453.55</v>
      </c>
      <c r="I399" s="1">
        <f>TablaVentas[[#This Row],[Precio Unitario]]*TablaVentas[[#This Row],[Cantidad]]</f>
        <v>7204.5</v>
      </c>
      <c r="J399" s="1">
        <f>TablaVentas[[#This Row],[Costo Unitario]]*TablaVentas[[#This Row],[Cantidad]]</f>
        <v>4535.5</v>
      </c>
      <c r="K399" s="1">
        <f>TablaVentas[[#This Row],[Total Venta]]-TablaVentas[[#This Row],[Total Costo]]</f>
        <v>2669</v>
      </c>
    </row>
    <row r="400" spans="1:11" x14ac:dyDescent="0.25">
      <c r="A400" s="2">
        <v>45203</v>
      </c>
      <c r="B400" s="1" t="s">
        <v>23</v>
      </c>
      <c r="C400" s="1" t="s">
        <v>9</v>
      </c>
      <c r="D400" s="1" t="s">
        <v>14</v>
      </c>
      <c r="E400" s="1" t="s">
        <v>28</v>
      </c>
      <c r="F400" s="1">
        <v>2</v>
      </c>
      <c r="G400" s="1">
        <v>65.040000000000006</v>
      </c>
      <c r="H400" s="1">
        <v>42.71</v>
      </c>
      <c r="I400" s="1">
        <f>TablaVentas[[#This Row],[Precio Unitario]]*TablaVentas[[#This Row],[Cantidad]]</f>
        <v>130.08000000000001</v>
      </c>
      <c r="J400" s="1">
        <f>TablaVentas[[#This Row],[Costo Unitario]]*TablaVentas[[#This Row],[Cantidad]]</f>
        <v>85.42</v>
      </c>
      <c r="K400" s="1">
        <f>TablaVentas[[#This Row],[Total Venta]]-TablaVentas[[#This Row],[Total Costo]]</f>
        <v>44.660000000000011</v>
      </c>
    </row>
    <row r="401" spans="1:11" x14ac:dyDescent="0.25">
      <c r="A401" s="2">
        <v>45203</v>
      </c>
      <c r="B401" s="1" t="s">
        <v>18</v>
      </c>
      <c r="C401" s="1" t="s">
        <v>19</v>
      </c>
      <c r="D401" s="1" t="s">
        <v>14</v>
      </c>
      <c r="E401" s="1" t="s">
        <v>20</v>
      </c>
      <c r="F401" s="1">
        <v>8</v>
      </c>
      <c r="G401" s="1">
        <v>1181.04</v>
      </c>
      <c r="H401" s="1">
        <v>833.99</v>
      </c>
      <c r="I401" s="1">
        <f>TablaVentas[[#This Row],[Precio Unitario]]*TablaVentas[[#This Row],[Cantidad]]</f>
        <v>9448.32</v>
      </c>
      <c r="J401" s="1">
        <f>TablaVentas[[#This Row],[Costo Unitario]]*TablaVentas[[#This Row],[Cantidad]]</f>
        <v>6671.92</v>
      </c>
      <c r="K401" s="1">
        <f>TablaVentas[[#This Row],[Total Venta]]-TablaVentas[[#This Row],[Total Costo]]</f>
        <v>2776.3999999999996</v>
      </c>
    </row>
    <row r="402" spans="1:11" x14ac:dyDescent="0.25">
      <c r="A402" s="2">
        <v>45203</v>
      </c>
      <c r="B402" s="1" t="s">
        <v>34</v>
      </c>
      <c r="C402" s="1" t="s">
        <v>13</v>
      </c>
      <c r="D402" s="1" t="s">
        <v>27</v>
      </c>
      <c r="E402" s="1" t="s">
        <v>20</v>
      </c>
      <c r="F402" s="1">
        <v>5</v>
      </c>
      <c r="G402" s="1">
        <v>317.77</v>
      </c>
      <c r="H402" s="1">
        <v>185.37</v>
      </c>
      <c r="I402" s="1">
        <f>TablaVentas[[#This Row],[Precio Unitario]]*TablaVentas[[#This Row],[Cantidad]]</f>
        <v>1588.85</v>
      </c>
      <c r="J402" s="1">
        <f>TablaVentas[[#This Row],[Costo Unitario]]*TablaVentas[[#This Row],[Cantidad]]</f>
        <v>926.85</v>
      </c>
      <c r="K402" s="1">
        <f>TablaVentas[[#This Row],[Total Venta]]-TablaVentas[[#This Row],[Total Costo]]</f>
        <v>661.99999999999989</v>
      </c>
    </row>
    <row r="403" spans="1:11" x14ac:dyDescent="0.25">
      <c r="A403" s="2">
        <v>45204</v>
      </c>
      <c r="B403" s="1" t="s">
        <v>32</v>
      </c>
      <c r="C403" s="1" t="s">
        <v>30</v>
      </c>
      <c r="D403" s="1" t="s">
        <v>14</v>
      </c>
      <c r="E403" s="1" t="s">
        <v>28</v>
      </c>
      <c r="F403" s="1">
        <v>5</v>
      </c>
      <c r="G403" s="1">
        <v>305.73</v>
      </c>
      <c r="H403" s="1">
        <v>207.93</v>
      </c>
      <c r="I403" s="1">
        <f>TablaVentas[[#This Row],[Precio Unitario]]*TablaVentas[[#This Row],[Cantidad]]</f>
        <v>1528.65</v>
      </c>
      <c r="J403" s="1">
        <f>TablaVentas[[#This Row],[Costo Unitario]]*TablaVentas[[#This Row],[Cantidad]]</f>
        <v>1039.6500000000001</v>
      </c>
      <c r="K403" s="1">
        <f>TablaVentas[[#This Row],[Total Venta]]-TablaVentas[[#This Row],[Total Costo]]</f>
        <v>489</v>
      </c>
    </row>
    <row r="404" spans="1:11" x14ac:dyDescent="0.25">
      <c r="A404" s="2">
        <v>45205</v>
      </c>
      <c r="B404" s="1" t="s">
        <v>23</v>
      </c>
      <c r="C404" s="1" t="s">
        <v>9</v>
      </c>
      <c r="D404" s="1" t="s">
        <v>10</v>
      </c>
      <c r="E404" s="1" t="s">
        <v>11</v>
      </c>
      <c r="F404" s="1">
        <v>9</v>
      </c>
      <c r="G404" s="1">
        <v>65.819999999999993</v>
      </c>
      <c r="H404" s="1">
        <v>42.98</v>
      </c>
      <c r="I404" s="1">
        <f>TablaVentas[[#This Row],[Precio Unitario]]*TablaVentas[[#This Row],[Cantidad]]</f>
        <v>592.37999999999988</v>
      </c>
      <c r="J404" s="1">
        <f>TablaVentas[[#This Row],[Costo Unitario]]*TablaVentas[[#This Row],[Cantidad]]</f>
        <v>386.82</v>
      </c>
      <c r="K404" s="1">
        <f>TablaVentas[[#This Row],[Total Venta]]-TablaVentas[[#This Row],[Total Costo]]</f>
        <v>205.55999999999989</v>
      </c>
    </row>
    <row r="405" spans="1:11" x14ac:dyDescent="0.25">
      <c r="A405" s="2">
        <v>45206</v>
      </c>
      <c r="B405" s="1" t="s">
        <v>26</v>
      </c>
      <c r="C405" s="1" t="s">
        <v>19</v>
      </c>
      <c r="D405" s="1" t="s">
        <v>33</v>
      </c>
      <c r="E405" s="1" t="s">
        <v>20</v>
      </c>
      <c r="F405" s="1">
        <v>2</v>
      </c>
      <c r="G405" s="1">
        <v>46.62</v>
      </c>
      <c r="H405" s="1">
        <v>23</v>
      </c>
      <c r="I405" s="1">
        <f>TablaVentas[[#This Row],[Precio Unitario]]*TablaVentas[[#This Row],[Cantidad]]</f>
        <v>93.24</v>
      </c>
      <c r="J405" s="1">
        <f>TablaVentas[[#This Row],[Costo Unitario]]*TablaVentas[[#This Row],[Cantidad]]</f>
        <v>46</v>
      </c>
      <c r="K405" s="1">
        <f>TablaVentas[[#This Row],[Total Venta]]-TablaVentas[[#This Row],[Total Costo]]</f>
        <v>47.239999999999995</v>
      </c>
    </row>
    <row r="406" spans="1:11" x14ac:dyDescent="0.25">
      <c r="A406" s="2">
        <v>45206</v>
      </c>
      <c r="B406" s="1" t="s">
        <v>29</v>
      </c>
      <c r="C406" s="1" t="s">
        <v>30</v>
      </c>
      <c r="D406" s="1" t="s">
        <v>33</v>
      </c>
      <c r="E406" s="1" t="s">
        <v>20</v>
      </c>
      <c r="F406" s="1">
        <v>7</v>
      </c>
      <c r="G406" s="1">
        <v>496.59</v>
      </c>
      <c r="H406" s="1">
        <v>307.99</v>
      </c>
      <c r="I406" s="1">
        <f>TablaVentas[[#This Row],[Precio Unitario]]*TablaVentas[[#This Row],[Cantidad]]</f>
        <v>3476.1299999999997</v>
      </c>
      <c r="J406" s="1">
        <f>TablaVentas[[#This Row],[Costo Unitario]]*TablaVentas[[#This Row],[Cantidad]]</f>
        <v>2155.9300000000003</v>
      </c>
      <c r="K406" s="1">
        <f>TablaVentas[[#This Row],[Total Venta]]-TablaVentas[[#This Row],[Total Costo]]</f>
        <v>1320.1999999999994</v>
      </c>
    </row>
    <row r="407" spans="1:11" x14ac:dyDescent="0.25">
      <c r="A407" s="2">
        <v>45206</v>
      </c>
      <c r="B407" s="1" t="s">
        <v>34</v>
      </c>
      <c r="C407" s="1" t="s">
        <v>13</v>
      </c>
      <c r="D407" s="1" t="s">
        <v>17</v>
      </c>
      <c r="E407" s="1" t="s">
        <v>28</v>
      </c>
      <c r="F407" s="1">
        <v>9</v>
      </c>
      <c r="G407" s="1">
        <v>271.64999999999998</v>
      </c>
      <c r="H407" s="1">
        <v>200.97</v>
      </c>
      <c r="I407" s="1">
        <f>TablaVentas[[#This Row],[Precio Unitario]]*TablaVentas[[#This Row],[Cantidad]]</f>
        <v>2444.85</v>
      </c>
      <c r="J407" s="1">
        <f>TablaVentas[[#This Row],[Costo Unitario]]*TablaVentas[[#This Row],[Cantidad]]</f>
        <v>1808.73</v>
      </c>
      <c r="K407" s="1">
        <f>TablaVentas[[#This Row],[Total Venta]]-TablaVentas[[#This Row],[Total Costo]]</f>
        <v>636.11999999999989</v>
      </c>
    </row>
    <row r="408" spans="1:11" x14ac:dyDescent="0.25">
      <c r="A408" s="2">
        <v>45207</v>
      </c>
      <c r="B408" s="1" t="s">
        <v>8</v>
      </c>
      <c r="C408" s="1" t="s">
        <v>9</v>
      </c>
      <c r="D408" s="1" t="s">
        <v>27</v>
      </c>
      <c r="E408" s="1" t="s">
        <v>22</v>
      </c>
      <c r="F408" s="1">
        <v>5</v>
      </c>
      <c r="G408" s="1">
        <v>635.9</v>
      </c>
      <c r="H408" s="1">
        <v>520.91999999999996</v>
      </c>
      <c r="I408" s="1">
        <f>TablaVentas[[#This Row],[Precio Unitario]]*TablaVentas[[#This Row],[Cantidad]]</f>
        <v>3179.5</v>
      </c>
      <c r="J408" s="1">
        <f>TablaVentas[[#This Row],[Costo Unitario]]*TablaVentas[[#This Row],[Cantidad]]</f>
        <v>2604.6</v>
      </c>
      <c r="K408" s="1">
        <f>TablaVentas[[#This Row],[Total Venta]]-TablaVentas[[#This Row],[Total Costo]]</f>
        <v>574.90000000000009</v>
      </c>
    </row>
    <row r="409" spans="1:11" x14ac:dyDescent="0.25">
      <c r="A409" s="2">
        <v>45207</v>
      </c>
      <c r="B409" s="1" t="s">
        <v>12</v>
      </c>
      <c r="C409" s="1" t="s">
        <v>13</v>
      </c>
      <c r="D409" s="1" t="s">
        <v>24</v>
      </c>
      <c r="E409" s="1" t="s">
        <v>11</v>
      </c>
      <c r="F409" s="1">
        <v>1</v>
      </c>
      <c r="G409" s="1">
        <v>62.88</v>
      </c>
      <c r="H409" s="1">
        <v>40.71</v>
      </c>
      <c r="I409" s="1">
        <f>TablaVentas[[#This Row],[Precio Unitario]]*TablaVentas[[#This Row],[Cantidad]]</f>
        <v>62.88</v>
      </c>
      <c r="J409" s="1">
        <f>TablaVentas[[#This Row],[Costo Unitario]]*TablaVentas[[#This Row],[Cantidad]]</f>
        <v>40.71</v>
      </c>
      <c r="K409" s="1">
        <f>TablaVentas[[#This Row],[Total Venta]]-TablaVentas[[#This Row],[Total Costo]]</f>
        <v>22.17</v>
      </c>
    </row>
    <row r="410" spans="1:11" x14ac:dyDescent="0.25">
      <c r="A410" s="2">
        <v>45208</v>
      </c>
      <c r="B410" s="1" t="s">
        <v>16</v>
      </c>
      <c r="C410" s="1" t="s">
        <v>13</v>
      </c>
      <c r="D410" s="1" t="s">
        <v>24</v>
      </c>
      <c r="E410" s="1" t="s">
        <v>22</v>
      </c>
      <c r="F410" s="1">
        <v>8</v>
      </c>
      <c r="G410" s="1">
        <v>50.15</v>
      </c>
      <c r="H410" s="1">
        <v>35.71</v>
      </c>
      <c r="I410" s="1">
        <f>TablaVentas[[#This Row],[Precio Unitario]]*TablaVentas[[#This Row],[Cantidad]]</f>
        <v>401.2</v>
      </c>
      <c r="J410" s="1">
        <f>TablaVentas[[#This Row],[Costo Unitario]]*TablaVentas[[#This Row],[Cantidad]]</f>
        <v>285.68</v>
      </c>
      <c r="K410" s="1">
        <f>TablaVentas[[#This Row],[Total Venta]]-TablaVentas[[#This Row],[Total Costo]]</f>
        <v>115.51999999999998</v>
      </c>
    </row>
    <row r="411" spans="1:11" x14ac:dyDescent="0.25">
      <c r="A411" s="2">
        <v>45208</v>
      </c>
      <c r="B411" s="1" t="s">
        <v>16</v>
      </c>
      <c r="C411" s="1" t="s">
        <v>13</v>
      </c>
      <c r="D411" s="1" t="s">
        <v>10</v>
      </c>
      <c r="E411" s="1" t="s">
        <v>11</v>
      </c>
      <c r="F411" s="1">
        <v>9</v>
      </c>
      <c r="G411" s="1">
        <v>57.8</v>
      </c>
      <c r="H411" s="1">
        <v>37.97</v>
      </c>
      <c r="I411" s="1">
        <f>TablaVentas[[#This Row],[Precio Unitario]]*TablaVentas[[#This Row],[Cantidad]]</f>
        <v>520.19999999999993</v>
      </c>
      <c r="J411" s="1">
        <f>TablaVentas[[#This Row],[Costo Unitario]]*TablaVentas[[#This Row],[Cantidad]]</f>
        <v>341.73</v>
      </c>
      <c r="K411" s="1">
        <f>TablaVentas[[#This Row],[Total Venta]]-TablaVentas[[#This Row],[Total Costo]]</f>
        <v>178.46999999999991</v>
      </c>
    </row>
    <row r="412" spans="1:11" x14ac:dyDescent="0.25">
      <c r="A412" s="2">
        <v>45209</v>
      </c>
      <c r="B412" s="1" t="s">
        <v>26</v>
      </c>
      <c r="C412" s="1" t="s">
        <v>19</v>
      </c>
      <c r="D412" s="1" t="s">
        <v>25</v>
      </c>
      <c r="E412" s="1" t="s">
        <v>11</v>
      </c>
      <c r="F412" s="1">
        <v>2</v>
      </c>
      <c r="G412" s="1">
        <v>51.28</v>
      </c>
      <c r="H412" s="1">
        <v>23.43</v>
      </c>
      <c r="I412" s="1">
        <f>TablaVentas[[#This Row],[Precio Unitario]]*TablaVentas[[#This Row],[Cantidad]]</f>
        <v>102.56</v>
      </c>
      <c r="J412" s="1">
        <f>TablaVentas[[#This Row],[Costo Unitario]]*TablaVentas[[#This Row],[Cantidad]]</f>
        <v>46.86</v>
      </c>
      <c r="K412" s="1">
        <f>TablaVentas[[#This Row],[Total Venta]]-TablaVentas[[#This Row],[Total Costo]]</f>
        <v>55.7</v>
      </c>
    </row>
    <row r="413" spans="1:11" x14ac:dyDescent="0.25">
      <c r="A413" s="2">
        <v>45210</v>
      </c>
      <c r="B413" s="1" t="s">
        <v>21</v>
      </c>
      <c r="C413" s="1" t="s">
        <v>19</v>
      </c>
      <c r="D413" s="1" t="s">
        <v>24</v>
      </c>
      <c r="E413" s="1" t="s">
        <v>15</v>
      </c>
      <c r="F413" s="1">
        <v>8</v>
      </c>
      <c r="G413" s="1">
        <v>97.61</v>
      </c>
      <c r="H413" s="1">
        <v>53.9</v>
      </c>
      <c r="I413" s="1">
        <f>TablaVentas[[#This Row],[Precio Unitario]]*TablaVentas[[#This Row],[Cantidad]]</f>
        <v>780.88</v>
      </c>
      <c r="J413" s="1">
        <f>TablaVentas[[#This Row],[Costo Unitario]]*TablaVentas[[#This Row],[Cantidad]]</f>
        <v>431.2</v>
      </c>
      <c r="K413" s="1">
        <f>TablaVentas[[#This Row],[Total Venta]]-TablaVentas[[#This Row],[Total Costo]]</f>
        <v>349.68</v>
      </c>
    </row>
    <row r="414" spans="1:11" x14ac:dyDescent="0.25">
      <c r="A414" s="2">
        <v>45210</v>
      </c>
      <c r="B414" s="1" t="s">
        <v>12</v>
      </c>
      <c r="C414" s="1" t="s">
        <v>13</v>
      </c>
      <c r="D414" s="1" t="s">
        <v>31</v>
      </c>
      <c r="E414" s="1" t="s">
        <v>11</v>
      </c>
      <c r="F414" s="1">
        <v>7</v>
      </c>
      <c r="G414" s="1">
        <v>67.349999999999994</v>
      </c>
      <c r="H414" s="1">
        <v>38.380000000000003</v>
      </c>
      <c r="I414" s="1">
        <f>TablaVentas[[#This Row],[Precio Unitario]]*TablaVentas[[#This Row],[Cantidad]]</f>
        <v>471.44999999999993</v>
      </c>
      <c r="J414" s="1">
        <f>TablaVentas[[#This Row],[Costo Unitario]]*TablaVentas[[#This Row],[Cantidad]]</f>
        <v>268.66000000000003</v>
      </c>
      <c r="K414" s="1">
        <f>TablaVentas[[#This Row],[Total Venta]]-TablaVentas[[#This Row],[Total Costo]]</f>
        <v>202.78999999999991</v>
      </c>
    </row>
    <row r="415" spans="1:11" x14ac:dyDescent="0.25">
      <c r="A415" s="2">
        <v>45210</v>
      </c>
      <c r="B415" s="1" t="s">
        <v>12</v>
      </c>
      <c r="C415" s="1" t="s">
        <v>13</v>
      </c>
      <c r="D415" s="1" t="s">
        <v>31</v>
      </c>
      <c r="E415" s="1" t="s">
        <v>20</v>
      </c>
      <c r="F415" s="1">
        <v>9</v>
      </c>
      <c r="G415" s="1">
        <v>65.06</v>
      </c>
      <c r="H415" s="1">
        <v>44.28</v>
      </c>
      <c r="I415" s="1">
        <f>TablaVentas[[#This Row],[Precio Unitario]]*TablaVentas[[#This Row],[Cantidad]]</f>
        <v>585.54</v>
      </c>
      <c r="J415" s="1">
        <f>TablaVentas[[#This Row],[Costo Unitario]]*TablaVentas[[#This Row],[Cantidad]]</f>
        <v>398.52</v>
      </c>
      <c r="K415" s="1">
        <f>TablaVentas[[#This Row],[Total Venta]]-TablaVentas[[#This Row],[Total Costo]]</f>
        <v>187.01999999999998</v>
      </c>
    </row>
    <row r="416" spans="1:11" x14ac:dyDescent="0.25">
      <c r="A416" s="2">
        <v>45210</v>
      </c>
      <c r="B416" s="1" t="s">
        <v>18</v>
      </c>
      <c r="C416" s="1" t="s">
        <v>19</v>
      </c>
      <c r="D416" s="1" t="s">
        <v>17</v>
      </c>
      <c r="E416" s="1" t="s">
        <v>11</v>
      </c>
      <c r="F416" s="1">
        <v>10</v>
      </c>
      <c r="G416" s="1">
        <v>1265.04</v>
      </c>
      <c r="H416" s="1">
        <v>851.01</v>
      </c>
      <c r="I416" s="1">
        <f>TablaVentas[[#This Row],[Precio Unitario]]*TablaVentas[[#This Row],[Cantidad]]</f>
        <v>12650.4</v>
      </c>
      <c r="J416" s="1">
        <f>TablaVentas[[#This Row],[Costo Unitario]]*TablaVentas[[#This Row],[Cantidad]]</f>
        <v>8510.1</v>
      </c>
      <c r="K416" s="1">
        <f>TablaVentas[[#This Row],[Total Venta]]-TablaVentas[[#This Row],[Total Costo]]</f>
        <v>4140.2999999999993</v>
      </c>
    </row>
    <row r="417" spans="1:11" x14ac:dyDescent="0.25">
      <c r="A417" s="2">
        <v>45211</v>
      </c>
      <c r="B417" s="1" t="s">
        <v>32</v>
      </c>
      <c r="C417" s="1" t="s">
        <v>30</v>
      </c>
      <c r="D417" s="1" t="s">
        <v>14</v>
      </c>
      <c r="E417" s="1" t="s">
        <v>22</v>
      </c>
      <c r="F417" s="1">
        <v>10</v>
      </c>
      <c r="G417" s="1">
        <v>334.3</v>
      </c>
      <c r="H417" s="1">
        <v>228.8</v>
      </c>
      <c r="I417" s="1">
        <f>TablaVentas[[#This Row],[Precio Unitario]]*TablaVentas[[#This Row],[Cantidad]]</f>
        <v>3343</v>
      </c>
      <c r="J417" s="1">
        <f>TablaVentas[[#This Row],[Costo Unitario]]*TablaVentas[[#This Row],[Cantidad]]</f>
        <v>2288</v>
      </c>
      <c r="K417" s="1">
        <f>TablaVentas[[#This Row],[Total Venta]]-TablaVentas[[#This Row],[Total Costo]]</f>
        <v>1055</v>
      </c>
    </row>
    <row r="418" spans="1:11" x14ac:dyDescent="0.25">
      <c r="A418" s="2">
        <v>45211</v>
      </c>
      <c r="B418" s="1" t="s">
        <v>18</v>
      </c>
      <c r="C418" s="1" t="s">
        <v>19</v>
      </c>
      <c r="D418" s="1" t="s">
        <v>31</v>
      </c>
      <c r="E418" s="1" t="s">
        <v>15</v>
      </c>
      <c r="F418" s="1">
        <v>1</v>
      </c>
      <c r="G418" s="1">
        <v>1327.63</v>
      </c>
      <c r="H418" s="1">
        <v>921.85</v>
      </c>
      <c r="I418" s="1">
        <f>TablaVentas[[#This Row],[Precio Unitario]]*TablaVentas[[#This Row],[Cantidad]]</f>
        <v>1327.63</v>
      </c>
      <c r="J418" s="1">
        <f>TablaVentas[[#This Row],[Costo Unitario]]*TablaVentas[[#This Row],[Cantidad]]</f>
        <v>921.85</v>
      </c>
      <c r="K418" s="1">
        <f>TablaVentas[[#This Row],[Total Venta]]-TablaVentas[[#This Row],[Total Costo]]</f>
        <v>405.78000000000009</v>
      </c>
    </row>
    <row r="419" spans="1:11" x14ac:dyDescent="0.25">
      <c r="A419" s="2">
        <v>45211</v>
      </c>
      <c r="B419" s="1" t="s">
        <v>29</v>
      </c>
      <c r="C419" s="1" t="s">
        <v>30</v>
      </c>
      <c r="D419" s="1" t="s">
        <v>25</v>
      </c>
      <c r="E419" s="1" t="s">
        <v>15</v>
      </c>
      <c r="F419" s="1">
        <v>1</v>
      </c>
      <c r="G419" s="1">
        <v>418.64</v>
      </c>
      <c r="H419" s="1">
        <v>337.15</v>
      </c>
      <c r="I419" s="1">
        <f>TablaVentas[[#This Row],[Precio Unitario]]*TablaVentas[[#This Row],[Cantidad]]</f>
        <v>418.64</v>
      </c>
      <c r="J419" s="1">
        <f>TablaVentas[[#This Row],[Costo Unitario]]*TablaVentas[[#This Row],[Cantidad]]</f>
        <v>337.15</v>
      </c>
      <c r="K419" s="1">
        <f>TablaVentas[[#This Row],[Total Venta]]-TablaVentas[[#This Row],[Total Costo]]</f>
        <v>81.490000000000009</v>
      </c>
    </row>
    <row r="420" spans="1:11" x14ac:dyDescent="0.25">
      <c r="A420" s="2">
        <v>45213</v>
      </c>
      <c r="B420" s="1" t="s">
        <v>16</v>
      </c>
      <c r="C420" s="1" t="s">
        <v>13</v>
      </c>
      <c r="D420" s="1" t="s">
        <v>33</v>
      </c>
      <c r="E420" s="1" t="s">
        <v>11</v>
      </c>
      <c r="F420" s="1">
        <v>5</v>
      </c>
      <c r="G420" s="1">
        <v>55.28</v>
      </c>
      <c r="H420" s="1">
        <v>33.479999999999997</v>
      </c>
      <c r="I420" s="1">
        <f>TablaVentas[[#This Row],[Precio Unitario]]*TablaVentas[[#This Row],[Cantidad]]</f>
        <v>276.39999999999998</v>
      </c>
      <c r="J420" s="1">
        <f>TablaVentas[[#This Row],[Costo Unitario]]*TablaVentas[[#This Row],[Cantidad]]</f>
        <v>167.39999999999998</v>
      </c>
      <c r="K420" s="1">
        <f>TablaVentas[[#This Row],[Total Venta]]-TablaVentas[[#This Row],[Total Costo]]</f>
        <v>109</v>
      </c>
    </row>
    <row r="421" spans="1:11" x14ac:dyDescent="0.25">
      <c r="A421" s="2">
        <v>45213</v>
      </c>
      <c r="B421" s="1" t="s">
        <v>32</v>
      </c>
      <c r="C421" s="1" t="s">
        <v>30</v>
      </c>
      <c r="D421" s="1" t="s">
        <v>27</v>
      </c>
      <c r="E421" s="1" t="s">
        <v>11</v>
      </c>
      <c r="F421" s="1">
        <v>10</v>
      </c>
      <c r="G421" s="1">
        <v>344.51</v>
      </c>
      <c r="H421" s="1">
        <v>218.21</v>
      </c>
      <c r="I421" s="1">
        <f>TablaVentas[[#This Row],[Precio Unitario]]*TablaVentas[[#This Row],[Cantidad]]</f>
        <v>3445.1</v>
      </c>
      <c r="J421" s="1">
        <f>TablaVentas[[#This Row],[Costo Unitario]]*TablaVentas[[#This Row],[Cantidad]]</f>
        <v>2182.1</v>
      </c>
      <c r="K421" s="1">
        <f>TablaVentas[[#This Row],[Total Venta]]-TablaVentas[[#This Row],[Total Costo]]</f>
        <v>1263</v>
      </c>
    </row>
    <row r="422" spans="1:11" x14ac:dyDescent="0.25">
      <c r="A422" s="2">
        <v>45214</v>
      </c>
      <c r="B422" s="1" t="s">
        <v>12</v>
      </c>
      <c r="C422" s="1" t="s">
        <v>13</v>
      </c>
      <c r="D422" s="1" t="s">
        <v>14</v>
      </c>
      <c r="E422" s="1" t="s">
        <v>11</v>
      </c>
      <c r="F422" s="1">
        <v>10</v>
      </c>
      <c r="G422" s="1">
        <v>61.81</v>
      </c>
      <c r="H422" s="1">
        <v>43.36</v>
      </c>
      <c r="I422" s="1">
        <f>TablaVentas[[#This Row],[Precio Unitario]]*TablaVentas[[#This Row],[Cantidad]]</f>
        <v>618.1</v>
      </c>
      <c r="J422" s="1">
        <f>TablaVentas[[#This Row],[Costo Unitario]]*TablaVentas[[#This Row],[Cantidad]]</f>
        <v>433.6</v>
      </c>
      <c r="K422" s="1">
        <f>TablaVentas[[#This Row],[Total Venta]]-TablaVentas[[#This Row],[Total Costo]]</f>
        <v>184.5</v>
      </c>
    </row>
    <row r="423" spans="1:11" x14ac:dyDescent="0.25">
      <c r="A423" s="2">
        <v>45215</v>
      </c>
      <c r="B423" s="1" t="s">
        <v>23</v>
      </c>
      <c r="C423" s="1" t="s">
        <v>9</v>
      </c>
      <c r="D423" s="1" t="s">
        <v>17</v>
      </c>
      <c r="E423" s="1" t="s">
        <v>20</v>
      </c>
      <c r="F423" s="1">
        <v>5</v>
      </c>
      <c r="G423" s="1">
        <v>73.69</v>
      </c>
      <c r="H423" s="1">
        <v>47.55</v>
      </c>
      <c r="I423" s="1">
        <f>TablaVentas[[#This Row],[Precio Unitario]]*TablaVentas[[#This Row],[Cantidad]]</f>
        <v>368.45</v>
      </c>
      <c r="J423" s="1">
        <f>TablaVentas[[#This Row],[Costo Unitario]]*TablaVentas[[#This Row],[Cantidad]]</f>
        <v>237.75</v>
      </c>
      <c r="K423" s="1">
        <f>TablaVentas[[#This Row],[Total Venta]]-TablaVentas[[#This Row],[Total Costo]]</f>
        <v>130.69999999999999</v>
      </c>
    </row>
    <row r="424" spans="1:11" x14ac:dyDescent="0.25">
      <c r="A424" s="2">
        <v>45215</v>
      </c>
      <c r="B424" s="1" t="s">
        <v>34</v>
      </c>
      <c r="C424" s="1" t="s">
        <v>13</v>
      </c>
      <c r="D424" s="1" t="s">
        <v>31</v>
      </c>
      <c r="E424" s="1" t="s">
        <v>11</v>
      </c>
      <c r="F424" s="1">
        <v>1</v>
      </c>
      <c r="G424" s="1">
        <v>257.31</v>
      </c>
      <c r="H424" s="1">
        <v>203.54</v>
      </c>
      <c r="I424" s="1">
        <f>TablaVentas[[#This Row],[Precio Unitario]]*TablaVentas[[#This Row],[Cantidad]]</f>
        <v>257.31</v>
      </c>
      <c r="J424" s="1">
        <f>TablaVentas[[#This Row],[Costo Unitario]]*TablaVentas[[#This Row],[Cantidad]]</f>
        <v>203.54</v>
      </c>
      <c r="K424" s="1">
        <f>TablaVentas[[#This Row],[Total Venta]]-TablaVentas[[#This Row],[Total Costo]]</f>
        <v>53.77000000000001</v>
      </c>
    </row>
    <row r="425" spans="1:11" x14ac:dyDescent="0.25">
      <c r="A425" s="2">
        <v>45216</v>
      </c>
      <c r="B425" s="1" t="s">
        <v>32</v>
      </c>
      <c r="C425" s="1" t="s">
        <v>30</v>
      </c>
      <c r="D425" s="1" t="s">
        <v>33</v>
      </c>
      <c r="E425" s="1" t="s">
        <v>11</v>
      </c>
      <c r="F425" s="1">
        <v>10</v>
      </c>
      <c r="G425" s="1">
        <v>361.17</v>
      </c>
      <c r="H425" s="1">
        <v>208.44</v>
      </c>
      <c r="I425" s="1">
        <f>TablaVentas[[#This Row],[Precio Unitario]]*TablaVentas[[#This Row],[Cantidad]]</f>
        <v>3611.7000000000003</v>
      </c>
      <c r="J425" s="1">
        <f>TablaVentas[[#This Row],[Costo Unitario]]*TablaVentas[[#This Row],[Cantidad]]</f>
        <v>2084.4</v>
      </c>
      <c r="K425" s="1">
        <f>TablaVentas[[#This Row],[Total Venta]]-TablaVentas[[#This Row],[Total Costo]]</f>
        <v>1527.3000000000002</v>
      </c>
    </row>
    <row r="426" spans="1:11" x14ac:dyDescent="0.25">
      <c r="A426" s="2">
        <v>45216</v>
      </c>
      <c r="B426" s="1" t="s">
        <v>26</v>
      </c>
      <c r="C426" s="1" t="s">
        <v>19</v>
      </c>
      <c r="D426" s="1" t="s">
        <v>25</v>
      </c>
      <c r="E426" s="1" t="s">
        <v>11</v>
      </c>
      <c r="F426" s="1">
        <v>5</v>
      </c>
      <c r="G426" s="1">
        <v>38.39</v>
      </c>
      <c r="H426" s="1">
        <v>26.53</v>
      </c>
      <c r="I426" s="1">
        <f>TablaVentas[[#This Row],[Precio Unitario]]*TablaVentas[[#This Row],[Cantidad]]</f>
        <v>191.95</v>
      </c>
      <c r="J426" s="1">
        <f>TablaVentas[[#This Row],[Costo Unitario]]*TablaVentas[[#This Row],[Cantidad]]</f>
        <v>132.65</v>
      </c>
      <c r="K426" s="1">
        <f>TablaVentas[[#This Row],[Total Venta]]-TablaVentas[[#This Row],[Total Costo]]</f>
        <v>59.299999999999983</v>
      </c>
    </row>
    <row r="427" spans="1:11" x14ac:dyDescent="0.25">
      <c r="A427" s="2">
        <v>45218</v>
      </c>
      <c r="B427" s="1" t="s">
        <v>29</v>
      </c>
      <c r="C427" s="1" t="s">
        <v>30</v>
      </c>
      <c r="D427" s="1" t="s">
        <v>31</v>
      </c>
      <c r="E427" s="1" t="s">
        <v>28</v>
      </c>
      <c r="F427" s="1">
        <v>10</v>
      </c>
      <c r="G427" s="1">
        <v>484.39</v>
      </c>
      <c r="H427" s="1">
        <v>330.9</v>
      </c>
      <c r="I427" s="1">
        <f>TablaVentas[[#This Row],[Precio Unitario]]*TablaVentas[[#This Row],[Cantidad]]</f>
        <v>4843.8999999999996</v>
      </c>
      <c r="J427" s="1">
        <f>TablaVentas[[#This Row],[Costo Unitario]]*TablaVentas[[#This Row],[Cantidad]]</f>
        <v>3309</v>
      </c>
      <c r="K427" s="1">
        <f>TablaVentas[[#This Row],[Total Venta]]-TablaVentas[[#This Row],[Total Costo]]</f>
        <v>1534.8999999999996</v>
      </c>
    </row>
    <row r="428" spans="1:11" x14ac:dyDescent="0.25">
      <c r="A428" s="2">
        <v>45219</v>
      </c>
      <c r="B428" s="1" t="s">
        <v>23</v>
      </c>
      <c r="C428" s="1" t="s">
        <v>9</v>
      </c>
      <c r="D428" s="1" t="s">
        <v>14</v>
      </c>
      <c r="E428" s="1" t="s">
        <v>11</v>
      </c>
      <c r="F428" s="1">
        <v>5</v>
      </c>
      <c r="G428" s="1">
        <v>81.760000000000005</v>
      </c>
      <c r="H428" s="1">
        <v>47.82</v>
      </c>
      <c r="I428" s="1">
        <f>TablaVentas[[#This Row],[Precio Unitario]]*TablaVentas[[#This Row],[Cantidad]]</f>
        <v>408.8</v>
      </c>
      <c r="J428" s="1">
        <f>TablaVentas[[#This Row],[Costo Unitario]]*TablaVentas[[#This Row],[Cantidad]]</f>
        <v>239.1</v>
      </c>
      <c r="K428" s="1">
        <f>TablaVentas[[#This Row],[Total Venta]]-TablaVentas[[#This Row],[Total Costo]]</f>
        <v>169.70000000000002</v>
      </c>
    </row>
    <row r="429" spans="1:11" x14ac:dyDescent="0.25">
      <c r="A429" s="2">
        <v>45220</v>
      </c>
      <c r="B429" s="1" t="s">
        <v>29</v>
      </c>
      <c r="C429" s="1" t="s">
        <v>30</v>
      </c>
      <c r="D429" s="1" t="s">
        <v>25</v>
      </c>
      <c r="E429" s="1" t="s">
        <v>11</v>
      </c>
      <c r="F429" s="1">
        <v>4</v>
      </c>
      <c r="G429" s="1">
        <v>395.38</v>
      </c>
      <c r="H429" s="1">
        <v>315.57</v>
      </c>
      <c r="I429" s="1">
        <f>TablaVentas[[#This Row],[Precio Unitario]]*TablaVentas[[#This Row],[Cantidad]]</f>
        <v>1581.52</v>
      </c>
      <c r="J429" s="1">
        <f>TablaVentas[[#This Row],[Costo Unitario]]*TablaVentas[[#This Row],[Cantidad]]</f>
        <v>1262.28</v>
      </c>
      <c r="K429" s="1">
        <f>TablaVentas[[#This Row],[Total Venta]]-TablaVentas[[#This Row],[Total Costo]]</f>
        <v>319.24</v>
      </c>
    </row>
    <row r="430" spans="1:11" x14ac:dyDescent="0.25">
      <c r="A430" s="2">
        <v>45220</v>
      </c>
      <c r="B430" s="1" t="s">
        <v>26</v>
      </c>
      <c r="C430" s="1" t="s">
        <v>19</v>
      </c>
      <c r="D430" s="1" t="s">
        <v>24</v>
      </c>
      <c r="E430" s="1" t="s">
        <v>22</v>
      </c>
      <c r="F430" s="1">
        <v>4</v>
      </c>
      <c r="G430" s="1">
        <v>48.9</v>
      </c>
      <c r="H430" s="1">
        <v>25.88</v>
      </c>
      <c r="I430" s="1">
        <f>TablaVentas[[#This Row],[Precio Unitario]]*TablaVentas[[#This Row],[Cantidad]]</f>
        <v>195.6</v>
      </c>
      <c r="J430" s="1">
        <f>TablaVentas[[#This Row],[Costo Unitario]]*TablaVentas[[#This Row],[Cantidad]]</f>
        <v>103.52</v>
      </c>
      <c r="K430" s="1">
        <f>TablaVentas[[#This Row],[Total Venta]]-TablaVentas[[#This Row],[Total Costo]]</f>
        <v>92.08</v>
      </c>
    </row>
    <row r="431" spans="1:11" x14ac:dyDescent="0.25">
      <c r="A431" s="2">
        <v>45221</v>
      </c>
      <c r="B431" s="1" t="s">
        <v>12</v>
      </c>
      <c r="C431" s="1" t="s">
        <v>13</v>
      </c>
      <c r="D431" s="1" t="s">
        <v>24</v>
      </c>
      <c r="E431" s="1" t="s">
        <v>11</v>
      </c>
      <c r="F431" s="1">
        <v>2</v>
      </c>
      <c r="G431" s="1">
        <v>74.38</v>
      </c>
      <c r="H431" s="1">
        <v>39.24</v>
      </c>
      <c r="I431" s="1">
        <f>TablaVentas[[#This Row],[Precio Unitario]]*TablaVentas[[#This Row],[Cantidad]]</f>
        <v>148.76</v>
      </c>
      <c r="J431" s="1">
        <f>TablaVentas[[#This Row],[Costo Unitario]]*TablaVentas[[#This Row],[Cantidad]]</f>
        <v>78.48</v>
      </c>
      <c r="K431" s="1">
        <f>TablaVentas[[#This Row],[Total Venta]]-TablaVentas[[#This Row],[Total Costo]]</f>
        <v>70.279999999999987</v>
      </c>
    </row>
    <row r="432" spans="1:11" x14ac:dyDescent="0.25">
      <c r="A432" s="2">
        <v>45222</v>
      </c>
      <c r="B432" s="1" t="s">
        <v>29</v>
      </c>
      <c r="C432" s="1" t="s">
        <v>30</v>
      </c>
      <c r="D432" s="1" t="s">
        <v>17</v>
      </c>
      <c r="E432" s="1" t="s">
        <v>11</v>
      </c>
      <c r="F432" s="1">
        <v>5</v>
      </c>
      <c r="G432" s="1">
        <v>509.2</v>
      </c>
      <c r="H432" s="1">
        <v>313.73</v>
      </c>
      <c r="I432" s="1">
        <f>TablaVentas[[#This Row],[Precio Unitario]]*TablaVentas[[#This Row],[Cantidad]]</f>
        <v>2546</v>
      </c>
      <c r="J432" s="1">
        <f>TablaVentas[[#This Row],[Costo Unitario]]*TablaVentas[[#This Row],[Cantidad]]</f>
        <v>1568.65</v>
      </c>
      <c r="K432" s="1">
        <f>TablaVentas[[#This Row],[Total Venta]]-TablaVentas[[#This Row],[Total Costo]]</f>
        <v>977.34999999999991</v>
      </c>
    </row>
    <row r="433" spans="1:11" x14ac:dyDescent="0.25">
      <c r="A433" s="2">
        <v>45223</v>
      </c>
      <c r="B433" s="1" t="s">
        <v>18</v>
      </c>
      <c r="C433" s="1" t="s">
        <v>19</v>
      </c>
      <c r="D433" s="1" t="s">
        <v>33</v>
      </c>
      <c r="E433" s="1" t="s">
        <v>28</v>
      </c>
      <c r="F433" s="1">
        <v>6</v>
      </c>
      <c r="G433" s="1">
        <v>1234.72</v>
      </c>
      <c r="H433" s="1">
        <v>821.04</v>
      </c>
      <c r="I433" s="1">
        <f>TablaVentas[[#This Row],[Precio Unitario]]*TablaVentas[[#This Row],[Cantidad]]</f>
        <v>7408.32</v>
      </c>
      <c r="J433" s="1">
        <f>TablaVentas[[#This Row],[Costo Unitario]]*TablaVentas[[#This Row],[Cantidad]]</f>
        <v>4926.24</v>
      </c>
      <c r="K433" s="1">
        <f>TablaVentas[[#This Row],[Total Venta]]-TablaVentas[[#This Row],[Total Costo]]</f>
        <v>2482.08</v>
      </c>
    </row>
    <row r="434" spans="1:11" x14ac:dyDescent="0.25">
      <c r="A434" s="2">
        <v>45223</v>
      </c>
      <c r="B434" s="1" t="s">
        <v>32</v>
      </c>
      <c r="C434" s="1" t="s">
        <v>30</v>
      </c>
      <c r="D434" s="1" t="s">
        <v>25</v>
      </c>
      <c r="E434" s="1" t="s">
        <v>15</v>
      </c>
      <c r="F434" s="1">
        <v>8</v>
      </c>
      <c r="G434" s="1">
        <v>341.5</v>
      </c>
      <c r="H434" s="1">
        <v>221.99</v>
      </c>
      <c r="I434" s="1">
        <f>TablaVentas[[#This Row],[Precio Unitario]]*TablaVentas[[#This Row],[Cantidad]]</f>
        <v>2732</v>
      </c>
      <c r="J434" s="1">
        <f>TablaVentas[[#This Row],[Costo Unitario]]*TablaVentas[[#This Row],[Cantidad]]</f>
        <v>1775.92</v>
      </c>
      <c r="K434" s="1">
        <f>TablaVentas[[#This Row],[Total Venta]]-TablaVentas[[#This Row],[Total Costo]]</f>
        <v>956.07999999999993</v>
      </c>
    </row>
    <row r="435" spans="1:11" x14ac:dyDescent="0.25">
      <c r="A435" s="2">
        <v>45224</v>
      </c>
      <c r="B435" s="1" t="s">
        <v>16</v>
      </c>
      <c r="C435" s="1" t="s">
        <v>13</v>
      </c>
      <c r="D435" s="1" t="s">
        <v>33</v>
      </c>
      <c r="E435" s="1" t="s">
        <v>20</v>
      </c>
      <c r="F435" s="1">
        <v>1</v>
      </c>
      <c r="G435" s="1">
        <v>60.18</v>
      </c>
      <c r="H435" s="1">
        <v>34.79</v>
      </c>
      <c r="I435" s="1">
        <f>TablaVentas[[#This Row],[Precio Unitario]]*TablaVentas[[#This Row],[Cantidad]]</f>
        <v>60.18</v>
      </c>
      <c r="J435" s="1">
        <f>TablaVentas[[#This Row],[Costo Unitario]]*TablaVentas[[#This Row],[Cantidad]]</f>
        <v>34.79</v>
      </c>
      <c r="K435" s="1">
        <f>TablaVentas[[#This Row],[Total Venta]]-TablaVentas[[#This Row],[Total Costo]]</f>
        <v>25.39</v>
      </c>
    </row>
    <row r="436" spans="1:11" x14ac:dyDescent="0.25">
      <c r="A436" s="2">
        <v>45225</v>
      </c>
      <c r="B436" s="1" t="s">
        <v>32</v>
      </c>
      <c r="C436" s="1" t="s">
        <v>30</v>
      </c>
      <c r="D436" s="1" t="s">
        <v>25</v>
      </c>
      <c r="E436" s="1" t="s">
        <v>28</v>
      </c>
      <c r="F436" s="1">
        <v>2</v>
      </c>
      <c r="G436" s="1">
        <v>321.47000000000003</v>
      </c>
      <c r="H436" s="1">
        <v>202.66</v>
      </c>
      <c r="I436" s="1">
        <f>TablaVentas[[#This Row],[Precio Unitario]]*TablaVentas[[#This Row],[Cantidad]]</f>
        <v>642.94000000000005</v>
      </c>
      <c r="J436" s="1">
        <f>TablaVentas[[#This Row],[Costo Unitario]]*TablaVentas[[#This Row],[Cantidad]]</f>
        <v>405.32</v>
      </c>
      <c r="K436" s="1">
        <f>TablaVentas[[#This Row],[Total Venta]]-TablaVentas[[#This Row],[Total Costo]]</f>
        <v>237.62000000000006</v>
      </c>
    </row>
    <row r="437" spans="1:11" x14ac:dyDescent="0.25">
      <c r="A437" s="2">
        <v>45225</v>
      </c>
      <c r="B437" s="1" t="s">
        <v>21</v>
      </c>
      <c r="C437" s="1" t="s">
        <v>19</v>
      </c>
      <c r="D437" s="1" t="s">
        <v>10</v>
      </c>
      <c r="E437" s="1" t="s">
        <v>20</v>
      </c>
      <c r="F437" s="1">
        <v>9</v>
      </c>
      <c r="G437" s="1">
        <v>76.02</v>
      </c>
      <c r="H437" s="1">
        <v>50.31</v>
      </c>
      <c r="I437" s="1">
        <f>TablaVentas[[#This Row],[Precio Unitario]]*TablaVentas[[#This Row],[Cantidad]]</f>
        <v>684.18</v>
      </c>
      <c r="J437" s="1">
        <f>TablaVentas[[#This Row],[Costo Unitario]]*TablaVentas[[#This Row],[Cantidad]]</f>
        <v>452.79</v>
      </c>
      <c r="K437" s="1">
        <f>TablaVentas[[#This Row],[Total Venta]]-TablaVentas[[#This Row],[Total Costo]]</f>
        <v>231.38999999999993</v>
      </c>
    </row>
    <row r="438" spans="1:11" x14ac:dyDescent="0.25">
      <c r="A438" s="2">
        <v>45228</v>
      </c>
      <c r="B438" s="1" t="s">
        <v>26</v>
      </c>
      <c r="C438" s="1" t="s">
        <v>19</v>
      </c>
      <c r="D438" s="1" t="s">
        <v>27</v>
      </c>
      <c r="E438" s="1" t="s">
        <v>11</v>
      </c>
      <c r="F438" s="1">
        <v>10</v>
      </c>
      <c r="G438" s="1">
        <v>46.41</v>
      </c>
      <c r="H438" s="1">
        <v>23.87</v>
      </c>
      <c r="I438" s="1">
        <f>TablaVentas[[#This Row],[Precio Unitario]]*TablaVentas[[#This Row],[Cantidad]]</f>
        <v>464.09999999999997</v>
      </c>
      <c r="J438" s="1">
        <f>TablaVentas[[#This Row],[Costo Unitario]]*TablaVentas[[#This Row],[Cantidad]]</f>
        <v>238.70000000000002</v>
      </c>
      <c r="K438" s="1">
        <f>TablaVentas[[#This Row],[Total Venta]]-TablaVentas[[#This Row],[Total Costo]]</f>
        <v>225.39999999999995</v>
      </c>
    </row>
    <row r="439" spans="1:11" x14ac:dyDescent="0.25">
      <c r="A439" s="2">
        <v>45230</v>
      </c>
      <c r="B439" s="1" t="s">
        <v>18</v>
      </c>
      <c r="C439" s="1" t="s">
        <v>19</v>
      </c>
      <c r="D439" s="1" t="s">
        <v>25</v>
      </c>
      <c r="E439" s="1" t="s">
        <v>28</v>
      </c>
      <c r="F439" s="1">
        <v>5</v>
      </c>
      <c r="G439" s="1">
        <v>1166.5</v>
      </c>
      <c r="H439" s="1">
        <v>925.66</v>
      </c>
      <c r="I439" s="1">
        <f>TablaVentas[[#This Row],[Precio Unitario]]*TablaVentas[[#This Row],[Cantidad]]</f>
        <v>5832.5</v>
      </c>
      <c r="J439" s="1">
        <f>TablaVentas[[#This Row],[Costo Unitario]]*TablaVentas[[#This Row],[Cantidad]]</f>
        <v>4628.3</v>
      </c>
      <c r="K439" s="1">
        <f>TablaVentas[[#This Row],[Total Venta]]-TablaVentas[[#This Row],[Total Costo]]</f>
        <v>1204.1999999999998</v>
      </c>
    </row>
    <row r="440" spans="1:11" x14ac:dyDescent="0.25">
      <c r="A440" s="2">
        <v>45230</v>
      </c>
      <c r="B440" s="1" t="s">
        <v>29</v>
      </c>
      <c r="C440" s="1" t="s">
        <v>30</v>
      </c>
      <c r="D440" s="1" t="s">
        <v>31</v>
      </c>
      <c r="E440" s="1" t="s">
        <v>20</v>
      </c>
      <c r="F440" s="1">
        <v>5</v>
      </c>
      <c r="G440" s="1">
        <v>510.08</v>
      </c>
      <c r="H440" s="1">
        <v>295.93</v>
      </c>
      <c r="I440" s="1">
        <f>TablaVentas[[#This Row],[Precio Unitario]]*TablaVentas[[#This Row],[Cantidad]]</f>
        <v>2550.4</v>
      </c>
      <c r="J440" s="1">
        <f>TablaVentas[[#This Row],[Costo Unitario]]*TablaVentas[[#This Row],[Cantidad]]</f>
        <v>1479.65</v>
      </c>
      <c r="K440" s="1">
        <f>TablaVentas[[#This Row],[Total Venta]]-TablaVentas[[#This Row],[Total Costo]]</f>
        <v>1070.75</v>
      </c>
    </row>
    <row r="441" spans="1:11" x14ac:dyDescent="0.25">
      <c r="A441" s="2">
        <v>45230</v>
      </c>
      <c r="B441" s="1" t="s">
        <v>21</v>
      </c>
      <c r="C441" s="1" t="s">
        <v>19</v>
      </c>
      <c r="D441" s="1" t="s">
        <v>25</v>
      </c>
      <c r="E441" s="1" t="s">
        <v>15</v>
      </c>
      <c r="F441" s="1">
        <v>7</v>
      </c>
      <c r="G441" s="1">
        <v>79.19</v>
      </c>
      <c r="H441" s="1">
        <v>54.39</v>
      </c>
      <c r="I441" s="1">
        <f>TablaVentas[[#This Row],[Precio Unitario]]*TablaVentas[[#This Row],[Cantidad]]</f>
        <v>554.32999999999993</v>
      </c>
      <c r="J441" s="1">
        <f>TablaVentas[[#This Row],[Costo Unitario]]*TablaVentas[[#This Row],[Cantidad]]</f>
        <v>380.73</v>
      </c>
      <c r="K441" s="1">
        <f>TablaVentas[[#This Row],[Total Venta]]-TablaVentas[[#This Row],[Total Costo]]</f>
        <v>173.59999999999991</v>
      </c>
    </row>
    <row r="442" spans="1:11" x14ac:dyDescent="0.25">
      <c r="A442" s="2">
        <v>45230</v>
      </c>
      <c r="B442" s="1" t="s">
        <v>26</v>
      </c>
      <c r="C442" s="1" t="s">
        <v>19</v>
      </c>
      <c r="D442" s="1" t="s">
        <v>14</v>
      </c>
      <c r="E442" s="1" t="s">
        <v>22</v>
      </c>
      <c r="F442" s="1">
        <v>3</v>
      </c>
      <c r="G442" s="1">
        <v>40.53</v>
      </c>
      <c r="H442" s="1">
        <v>26.62</v>
      </c>
      <c r="I442" s="1">
        <f>TablaVentas[[#This Row],[Precio Unitario]]*TablaVentas[[#This Row],[Cantidad]]</f>
        <v>121.59</v>
      </c>
      <c r="J442" s="1">
        <f>TablaVentas[[#This Row],[Costo Unitario]]*TablaVentas[[#This Row],[Cantidad]]</f>
        <v>79.86</v>
      </c>
      <c r="K442" s="1">
        <f>TablaVentas[[#This Row],[Total Venta]]-TablaVentas[[#This Row],[Total Costo]]</f>
        <v>41.730000000000004</v>
      </c>
    </row>
    <row r="443" spans="1:11" x14ac:dyDescent="0.25">
      <c r="A443" s="2">
        <v>45232</v>
      </c>
      <c r="B443" s="1" t="s">
        <v>12</v>
      </c>
      <c r="C443" s="1" t="s">
        <v>13</v>
      </c>
      <c r="D443" s="1" t="s">
        <v>31</v>
      </c>
      <c r="E443" s="1" t="s">
        <v>20</v>
      </c>
      <c r="F443" s="1">
        <v>2</v>
      </c>
      <c r="G443" s="1">
        <v>67.510000000000005</v>
      </c>
      <c r="H443" s="1">
        <v>39.4</v>
      </c>
      <c r="I443" s="1">
        <f>TablaVentas[[#This Row],[Precio Unitario]]*TablaVentas[[#This Row],[Cantidad]]</f>
        <v>135.02000000000001</v>
      </c>
      <c r="J443" s="1">
        <f>TablaVentas[[#This Row],[Costo Unitario]]*TablaVentas[[#This Row],[Cantidad]]</f>
        <v>78.8</v>
      </c>
      <c r="K443" s="1">
        <f>TablaVentas[[#This Row],[Total Venta]]-TablaVentas[[#This Row],[Total Costo]]</f>
        <v>56.220000000000013</v>
      </c>
    </row>
    <row r="444" spans="1:11" x14ac:dyDescent="0.25">
      <c r="A444" s="2">
        <v>45232</v>
      </c>
      <c r="B444" s="1" t="s">
        <v>18</v>
      </c>
      <c r="C444" s="1" t="s">
        <v>19</v>
      </c>
      <c r="D444" s="1" t="s">
        <v>17</v>
      </c>
      <c r="E444" s="1" t="s">
        <v>11</v>
      </c>
      <c r="F444" s="1">
        <v>2</v>
      </c>
      <c r="G444" s="1">
        <v>1209.25</v>
      </c>
      <c r="H444" s="1">
        <v>884.42</v>
      </c>
      <c r="I444" s="1">
        <f>TablaVentas[[#This Row],[Precio Unitario]]*TablaVentas[[#This Row],[Cantidad]]</f>
        <v>2418.5</v>
      </c>
      <c r="J444" s="1">
        <f>TablaVentas[[#This Row],[Costo Unitario]]*TablaVentas[[#This Row],[Cantidad]]</f>
        <v>1768.84</v>
      </c>
      <c r="K444" s="1">
        <f>TablaVentas[[#This Row],[Total Venta]]-TablaVentas[[#This Row],[Total Costo]]</f>
        <v>649.66000000000008</v>
      </c>
    </row>
    <row r="445" spans="1:11" x14ac:dyDescent="0.25">
      <c r="A445" s="2">
        <v>45233</v>
      </c>
      <c r="B445" s="1" t="s">
        <v>23</v>
      </c>
      <c r="C445" s="1" t="s">
        <v>9</v>
      </c>
      <c r="D445" s="1" t="s">
        <v>10</v>
      </c>
      <c r="E445" s="1" t="s">
        <v>22</v>
      </c>
      <c r="F445" s="1">
        <v>3</v>
      </c>
      <c r="G445" s="1">
        <v>75.58</v>
      </c>
      <c r="H445" s="1">
        <v>47.67</v>
      </c>
      <c r="I445" s="1">
        <f>TablaVentas[[#This Row],[Precio Unitario]]*TablaVentas[[#This Row],[Cantidad]]</f>
        <v>226.74</v>
      </c>
      <c r="J445" s="1">
        <f>TablaVentas[[#This Row],[Costo Unitario]]*TablaVentas[[#This Row],[Cantidad]]</f>
        <v>143.01</v>
      </c>
      <c r="K445" s="1">
        <f>TablaVentas[[#This Row],[Total Venta]]-TablaVentas[[#This Row],[Total Costo]]</f>
        <v>83.730000000000018</v>
      </c>
    </row>
    <row r="446" spans="1:11" x14ac:dyDescent="0.25">
      <c r="A446" s="2">
        <v>45233</v>
      </c>
      <c r="B446" s="1" t="s">
        <v>18</v>
      </c>
      <c r="C446" s="1" t="s">
        <v>19</v>
      </c>
      <c r="D446" s="1" t="s">
        <v>24</v>
      </c>
      <c r="E446" s="1" t="s">
        <v>20</v>
      </c>
      <c r="F446" s="1">
        <v>5</v>
      </c>
      <c r="G446" s="1">
        <v>1296.18</v>
      </c>
      <c r="H446" s="1">
        <v>779.24</v>
      </c>
      <c r="I446" s="1">
        <f>TablaVentas[[#This Row],[Precio Unitario]]*TablaVentas[[#This Row],[Cantidad]]</f>
        <v>6480.9000000000005</v>
      </c>
      <c r="J446" s="1">
        <f>TablaVentas[[#This Row],[Costo Unitario]]*TablaVentas[[#This Row],[Cantidad]]</f>
        <v>3896.2</v>
      </c>
      <c r="K446" s="1">
        <f>TablaVentas[[#This Row],[Total Venta]]-TablaVentas[[#This Row],[Total Costo]]</f>
        <v>2584.7000000000007</v>
      </c>
    </row>
    <row r="447" spans="1:11" x14ac:dyDescent="0.25">
      <c r="A447" s="2">
        <v>45234</v>
      </c>
      <c r="B447" s="1" t="s">
        <v>23</v>
      </c>
      <c r="C447" s="1" t="s">
        <v>9</v>
      </c>
      <c r="D447" s="1" t="s">
        <v>33</v>
      </c>
      <c r="E447" s="1" t="s">
        <v>20</v>
      </c>
      <c r="F447" s="1">
        <v>4</v>
      </c>
      <c r="G447" s="1">
        <v>70.28</v>
      </c>
      <c r="H447" s="1">
        <v>48.71</v>
      </c>
      <c r="I447" s="1">
        <f>TablaVentas[[#This Row],[Precio Unitario]]*TablaVentas[[#This Row],[Cantidad]]</f>
        <v>281.12</v>
      </c>
      <c r="J447" s="1">
        <f>TablaVentas[[#This Row],[Costo Unitario]]*TablaVentas[[#This Row],[Cantidad]]</f>
        <v>194.84</v>
      </c>
      <c r="K447" s="1">
        <f>TablaVentas[[#This Row],[Total Venta]]-TablaVentas[[#This Row],[Total Costo]]</f>
        <v>86.28</v>
      </c>
    </row>
    <row r="448" spans="1:11" x14ac:dyDescent="0.25">
      <c r="A448" s="2">
        <v>45235</v>
      </c>
      <c r="B448" s="1" t="s">
        <v>23</v>
      </c>
      <c r="C448" s="1" t="s">
        <v>9</v>
      </c>
      <c r="D448" s="1" t="s">
        <v>10</v>
      </c>
      <c r="E448" s="1" t="s">
        <v>22</v>
      </c>
      <c r="F448" s="1">
        <v>4</v>
      </c>
      <c r="G448" s="1">
        <v>79.28</v>
      </c>
      <c r="H448" s="1">
        <v>41.21</v>
      </c>
      <c r="I448" s="1">
        <f>TablaVentas[[#This Row],[Precio Unitario]]*TablaVentas[[#This Row],[Cantidad]]</f>
        <v>317.12</v>
      </c>
      <c r="J448" s="1">
        <f>TablaVentas[[#This Row],[Costo Unitario]]*TablaVentas[[#This Row],[Cantidad]]</f>
        <v>164.84</v>
      </c>
      <c r="K448" s="1">
        <f>TablaVentas[[#This Row],[Total Venta]]-TablaVentas[[#This Row],[Total Costo]]</f>
        <v>152.28</v>
      </c>
    </row>
    <row r="449" spans="1:11" x14ac:dyDescent="0.25">
      <c r="A449" s="2">
        <v>45235</v>
      </c>
      <c r="B449" s="1" t="s">
        <v>12</v>
      </c>
      <c r="C449" s="1" t="s">
        <v>13</v>
      </c>
      <c r="D449" s="1" t="s">
        <v>31</v>
      </c>
      <c r="E449" s="1" t="s">
        <v>11</v>
      </c>
      <c r="F449" s="1">
        <v>5</v>
      </c>
      <c r="G449" s="1">
        <v>69.040000000000006</v>
      </c>
      <c r="H449" s="1">
        <v>45.63</v>
      </c>
      <c r="I449" s="1">
        <f>TablaVentas[[#This Row],[Precio Unitario]]*TablaVentas[[#This Row],[Cantidad]]</f>
        <v>345.20000000000005</v>
      </c>
      <c r="J449" s="1">
        <f>TablaVentas[[#This Row],[Costo Unitario]]*TablaVentas[[#This Row],[Cantidad]]</f>
        <v>228.15</v>
      </c>
      <c r="K449" s="1">
        <f>TablaVentas[[#This Row],[Total Venta]]-TablaVentas[[#This Row],[Total Costo]]</f>
        <v>117.05000000000004</v>
      </c>
    </row>
    <row r="450" spans="1:11" x14ac:dyDescent="0.25">
      <c r="A450" s="2">
        <v>45236</v>
      </c>
      <c r="B450" s="1" t="s">
        <v>34</v>
      </c>
      <c r="C450" s="1" t="s">
        <v>13</v>
      </c>
      <c r="D450" s="1" t="s">
        <v>31</v>
      </c>
      <c r="E450" s="1" t="s">
        <v>20</v>
      </c>
      <c r="F450" s="1">
        <v>9</v>
      </c>
      <c r="G450" s="1">
        <v>286.16000000000003</v>
      </c>
      <c r="H450" s="1">
        <v>200.22</v>
      </c>
      <c r="I450" s="1">
        <f>TablaVentas[[#This Row],[Precio Unitario]]*TablaVentas[[#This Row],[Cantidad]]</f>
        <v>2575.44</v>
      </c>
      <c r="J450" s="1">
        <f>TablaVentas[[#This Row],[Costo Unitario]]*TablaVentas[[#This Row],[Cantidad]]</f>
        <v>1801.98</v>
      </c>
      <c r="K450" s="1">
        <f>TablaVentas[[#This Row],[Total Venta]]-TablaVentas[[#This Row],[Total Costo]]</f>
        <v>773.46</v>
      </c>
    </row>
    <row r="451" spans="1:11" x14ac:dyDescent="0.25">
      <c r="A451" s="2">
        <v>45237</v>
      </c>
      <c r="B451" s="1" t="s">
        <v>21</v>
      </c>
      <c r="C451" s="1" t="s">
        <v>19</v>
      </c>
      <c r="D451" s="1" t="s">
        <v>17</v>
      </c>
      <c r="E451" s="1" t="s">
        <v>22</v>
      </c>
      <c r="F451" s="1">
        <v>9</v>
      </c>
      <c r="G451" s="1">
        <v>80.37</v>
      </c>
      <c r="H451" s="1">
        <v>47.93</v>
      </c>
      <c r="I451" s="1">
        <f>TablaVentas[[#This Row],[Precio Unitario]]*TablaVentas[[#This Row],[Cantidad]]</f>
        <v>723.33</v>
      </c>
      <c r="J451" s="1">
        <f>TablaVentas[[#This Row],[Costo Unitario]]*TablaVentas[[#This Row],[Cantidad]]</f>
        <v>431.37</v>
      </c>
      <c r="K451" s="1">
        <f>TablaVentas[[#This Row],[Total Venta]]-TablaVentas[[#This Row],[Total Costo]]</f>
        <v>291.96000000000004</v>
      </c>
    </row>
    <row r="452" spans="1:11" x14ac:dyDescent="0.25">
      <c r="A452" s="2">
        <v>45237</v>
      </c>
      <c r="B452" s="1" t="s">
        <v>32</v>
      </c>
      <c r="C452" s="1" t="s">
        <v>30</v>
      </c>
      <c r="D452" s="1" t="s">
        <v>27</v>
      </c>
      <c r="E452" s="1" t="s">
        <v>11</v>
      </c>
      <c r="F452" s="1">
        <v>9</v>
      </c>
      <c r="G452" s="1">
        <v>311.77999999999997</v>
      </c>
      <c r="H452" s="1">
        <v>192.76</v>
      </c>
      <c r="I452" s="1">
        <f>TablaVentas[[#This Row],[Precio Unitario]]*TablaVentas[[#This Row],[Cantidad]]</f>
        <v>2806.0199999999995</v>
      </c>
      <c r="J452" s="1">
        <f>TablaVentas[[#This Row],[Costo Unitario]]*TablaVentas[[#This Row],[Cantidad]]</f>
        <v>1734.84</v>
      </c>
      <c r="K452" s="1">
        <f>TablaVentas[[#This Row],[Total Venta]]-TablaVentas[[#This Row],[Total Costo]]</f>
        <v>1071.1799999999996</v>
      </c>
    </row>
    <row r="453" spans="1:11" x14ac:dyDescent="0.25">
      <c r="A453" s="2">
        <v>45237</v>
      </c>
      <c r="B453" s="1" t="s">
        <v>18</v>
      </c>
      <c r="C453" s="1" t="s">
        <v>19</v>
      </c>
      <c r="D453" s="1" t="s">
        <v>31</v>
      </c>
      <c r="E453" s="1" t="s">
        <v>22</v>
      </c>
      <c r="F453" s="1">
        <v>7</v>
      </c>
      <c r="G453" s="1">
        <v>1294.8599999999999</v>
      </c>
      <c r="H453" s="1">
        <v>800</v>
      </c>
      <c r="I453" s="1">
        <f>TablaVentas[[#This Row],[Precio Unitario]]*TablaVentas[[#This Row],[Cantidad]]</f>
        <v>9064.0199999999986</v>
      </c>
      <c r="J453" s="1">
        <f>TablaVentas[[#This Row],[Costo Unitario]]*TablaVentas[[#This Row],[Cantidad]]</f>
        <v>5600</v>
      </c>
      <c r="K453" s="1">
        <f>TablaVentas[[#This Row],[Total Venta]]-TablaVentas[[#This Row],[Total Costo]]</f>
        <v>3464.0199999999986</v>
      </c>
    </row>
    <row r="454" spans="1:11" x14ac:dyDescent="0.25">
      <c r="A454" s="2">
        <v>45241</v>
      </c>
      <c r="B454" s="1" t="s">
        <v>18</v>
      </c>
      <c r="C454" s="1" t="s">
        <v>19</v>
      </c>
      <c r="D454" s="1" t="s">
        <v>17</v>
      </c>
      <c r="E454" s="1" t="s">
        <v>22</v>
      </c>
      <c r="F454" s="1">
        <v>6</v>
      </c>
      <c r="G454" s="1">
        <v>1187.67</v>
      </c>
      <c r="H454" s="1">
        <v>878.73</v>
      </c>
      <c r="I454" s="1">
        <f>TablaVentas[[#This Row],[Precio Unitario]]*TablaVentas[[#This Row],[Cantidad]]</f>
        <v>7126.02</v>
      </c>
      <c r="J454" s="1">
        <f>TablaVentas[[#This Row],[Costo Unitario]]*TablaVentas[[#This Row],[Cantidad]]</f>
        <v>5272.38</v>
      </c>
      <c r="K454" s="1">
        <f>TablaVentas[[#This Row],[Total Venta]]-TablaVentas[[#This Row],[Total Costo]]</f>
        <v>1853.6400000000003</v>
      </c>
    </row>
    <row r="455" spans="1:11" x14ac:dyDescent="0.25">
      <c r="A455" s="2">
        <v>45243</v>
      </c>
      <c r="B455" s="1" t="s">
        <v>32</v>
      </c>
      <c r="C455" s="1" t="s">
        <v>30</v>
      </c>
      <c r="D455" s="1" t="s">
        <v>24</v>
      </c>
      <c r="E455" s="1" t="s">
        <v>28</v>
      </c>
      <c r="F455" s="1">
        <v>8</v>
      </c>
      <c r="G455" s="1">
        <v>337.72</v>
      </c>
      <c r="H455" s="1">
        <v>198.64</v>
      </c>
      <c r="I455" s="1">
        <f>TablaVentas[[#This Row],[Precio Unitario]]*TablaVentas[[#This Row],[Cantidad]]</f>
        <v>2701.76</v>
      </c>
      <c r="J455" s="1">
        <f>TablaVentas[[#This Row],[Costo Unitario]]*TablaVentas[[#This Row],[Cantidad]]</f>
        <v>1589.12</v>
      </c>
      <c r="K455" s="1">
        <f>TablaVentas[[#This Row],[Total Venta]]-TablaVentas[[#This Row],[Total Costo]]</f>
        <v>1112.6400000000003</v>
      </c>
    </row>
    <row r="456" spans="1:11" x14ac:dyDescent="0.25">
      <c r="A456" s="2">
        <v>45245</v>
      </c>
      <c r="B456" s="1" t="s">
        <v>34</v>
      </c>
      <c r="C456" s="1" t="s">
        <v>13</v>
      </c>
      <c r="D456" s="1" t="s">
        <v>17</v>
      </c>
      <c r="E456" s="1" t="s">
        <v>11</v>
      </c>
      <c r="F456" s="1">
        <v>9</v>
      </c>
      <c r="G456" s="1">
        <v>257.66000000000003</v>
      </c>
      <c r="H456" s="1">
        <v>197.14</v>
      </c>
      <c r="I456" s="1">
        <f>TablaVentas[[#This Row],[Precio Unitario]]*TablaVentas[[#This Row],[Cantidad]]</f>
        <v>2318.94</v>
      </c>
      <c r="J456" s="1">
        <f>TablaVentas[[#This Row],[Costo Unitario]]*TablaVentas[[#This Row],[Cantidad]]</f>
        <v>1774.2599999999998</v>
      </c>
      <c r="K456" s="1">
        <f>TablaVentas[[#This Row],[Total Venta]]-TablaVentas[[#This Row],[Total Costo]]</f>
        <v>544.68000000000029</v>
      </c>
    </row>
    <row r="457" spans="1:11" x14ac:dyDescent="0.25">
      <c r="A457" s="2">
        <v>45246</v>
      </c>
      <c r="B457" s="1" t="s">
        <v>18</v>
      </c>
      <c r="C457" s="1" t="s">
        <v>19</v>
      </c>
      <c r="D457" s="1" t="s">
        <v>25</v>
      </c>
      <c r="E457" s="1" t="s">
        <v>11</v>
      </c>
      <c r="F457" s="1">
        <v>8</v>
      </c>
      <c r="G457" s="1">
        <v>1132.42</v>
      </c>
      <c r="H457" s="1">
        <v>900.79</v>
      </c>
      <c r="I457" s="1">
        <f>TablaVentas[[#This Row],[Precio Unitario]]*TablaVentas[[#This Row],[Cantidad]]</f>
        <v>9059.36</v>
      </c>
      <c r="J457" s="1">
        <f>TablaVentas[[#This Row],[Costo Unitario]]*TablaVentas[[#This Row],[Cantidad]]</f>
        <v>7206.32</v>
      </c>
      <c r="K457" s="1">
        <f>TablaVentas[[#This Row],[Total Venta]]-TablaVentas[[#This Row],[Total Costo]]</f>
        <v>1853.0400000000009</v>
      </c>
    </row>
    <row r="458" spans="1:11" x14ac:dyDescent="0.25">
      <c r="A458" s="2">
        <v>45246</v>
      </c>
      <c r="B458" s="1" t="s">
        <v>12</v>
      </c>
      <c r="C458" s="1" t="s">
        <v>13</v>
      </c>
      <c r="D458" s="1" t="s">
        <v>27</v>
      </c>
      <c r="E458" s="1" t="s">
        <v>15</v>
      </c>
      <c r="F458" s="1">
        <v>9</v>
      </c>
      <c r="G458" s="1">
        <v>64.12</v>
      </c>
      <c r="H458" s="1">
        <v>45.86</v>
      </c>
      <c r="I458" s="1">
        <f>TablaVentas[[#This Row],[Precio Unitario]]*TablaVentas[[#This Row],[Cantidad]]</f>
        <v>577.08000000000004</v>
      </c>
      <c r="J458" s="1">
        <f>TablaVentas[[#This Row],[Costo Unitario]]*TablaVentas[[#This Row],[Cantidad]]</f>
        <v>412.74</v>
      </c>
      <c r="K458" s="1">
        <f>TablaVentas[[#This Row],[Total Venta]]-TablaVentas[[#This Row],[Total Costo]]</f>
        <v>164.34000000000003</v>
      </c>
    </row>
    <row r="459" spans="1:11" x14ac:dyDescent="0.25">
      <c r="A459" s="2">
        <v>45247</v>
      </c>
      <c r="B459" s="1" t="s">
        <v>34</v>
      </c>
      <c r="C459" s="1" t="s">
        <v>13</v>
      </c>
      <c r="D459" s="1" t="s">
        <v>27</v>
      </c>
      <c r="E459" s="1" t="s">
        <v>11</v>
      </c>
      <c r="F459" s="1">
        <v>4</v>
      </c>
      <c r="G459" s="1">
        <v>282.23</v>
      </c>
      <c r="H459" s="1">
        <v>181.27</v>
      </c>
      <c r="I459" s="1">
        <f>TablaVentas[[#This Row],[Precio Unitario]]*TablaVentas[[#This Row],[Cantidad]]</f>
        <v>1128.92</v>
      </c>
      <c r="J459" s="1">
        <f>TablaVentas[[#This Row],[Costo Unitario]]*TablaVentas[[#This Row],[Cantidad]]</f>
        <v>725.08</v>
      </c>
      <c r="K459" s="1">
        <f>TablaVentas[[#This Row],[Total Venta]]-TablaVentas[[#This Row],[Total Costo]]</f>
        <v>403.84000000000003</v>
      </c>
    </row>
    <row r="460" spans="1:11" x14ac:dyDescent="0.25">
      <c r="A460" s="2">
        <v>45247</v>
      </c>
      <c r="B460" s="1" t="s">
        <v>29</v>
      </c>
      <c r="C460" s="1" t="s">
        <v>30</v>
      </c>
      <c r="D460" s="1" t="s">
        <v>33</v>
      </c>
      <c r="E460" s="1" t="s">
        <v>28</v>
      </c>
      <c r="F460" s="1">
        <v>3</v>
      </c>
      <c r="G460" s="1">
        <v>388.43</v>
      </c>
      <c r="H460" s="1">
        <v>333.94</v>
      </c>
      <c r="I460" s="1">
        <f>TablaVentas[[#This Row],[Precio Unitario]]*TablaVentas[[#This Row],[Cantidad]]</f>
        <v>1165.29</v>
      </c>
      <c r="J460" s="1">
        <f>TablaVentas[[#This Row],[Costo Unitario]]*TablaVentas[[#This Row],[Cantidad]]</f>
        <v>1001.8199999999999</v>
      </c>
      <c r="K460" s="1">
        <f>TablaVentas[[#This Row],[Total Venta]]-TablaVentas[[#This Row],[Total Costo]]</f>
        <v>163.47000000000003</v>
      </c>
    </row>
    <row r="461" spans="1:11" x14ac:dyDescent="0.25">
      <c r="A461" s="2">
        <v>45247</v>
      </c>
      <c r="B461" s="1" t="s">
        <v>29</v>
      </c>
      <c r="C461" s="1" t="s">
        <v>30</v>
      </c>
      <c r="D461" s="1" t="s">
        <v>33</v>
      </c>
      <c r="E461" s="1" t="s">
        <v>22</v>
      </c>
      <c r="F461" s="1">
        <v>4</v>
      </c>
      <c r="G461" s="1">
        <v>431.11</v>
      </c>
      <c r="H461" s="1">
        <v>339.35</v>
      </c>
      <c r="I461" s="1">
        <f>TablaVentas[[#This Row],[Precio Unitario]]*TablaVentas[[#This Row],[Cantidad]]</f>
        <v>1724.44</v>
      </c>
      <c r="J461" s="1">
        <f>TablaVentas[[#This Row],[Costo Unitario]]*TablaVentas[[#This Row],[Cantidad]]</f>
        <v>1357.4</v>
      </c>
      <c r="K461" s="1">
        <f>TablaVentas[[#This Row],[Total Venta]]-TablaVentas[[#This Row],[Total Costo]]</f>
        <v>367.03999999999996</v>
      </c>
    </row>
    <row r="462" spans="1:11" x14ac:dyDescent="0.25">
      <c r="A462" s="2">
        <v>45247</v>
      </c>
      <c r="B462" s="1" t="s">
        <v>32</v>
      </c>
      <c r="C462" s="1" t="s">
        <v>30</v>
      </c>
      <c r="D462" s="1" t="s">
        <v>27</v>
      </c>
      <c r="E462" s="1" t="s">
        <v>15</v>
      </c>
      <c r="F462" s="1">
        <v>8</v>
      </c>
      <c r="G462" s="1">
        <v>346.49</v>
      </c>
      <c r="H462" s="1">
        <v>217.27</v>
      </c>
      <c r="I462" s="1">
        <f>TablaVentas[[#This Row],[Precio Unitario]]*TablaVentas[[#This Row],[Cantidad]]</f>
        <v>2771.92</v>
      </c>
      <c r="J462" s="1">
        <f>TablaVentas[[#This Row],[Costo Unitario]]*TablaVentas[[#This Row],[Cantidad]]</f>
        <v>1738.16</v>
      </c>
      <c r="K462" s="1">
        <f>TablaVentas[[#This Row],[Total Venta]]-TablaVentas[[#This Row],[Total Costo]]</f>
        <v>1033.76</v>
      </c>
    </row>
    <row r="463" spans="1:11" x14ac:dyDescent="0.25">
      <c r="A463" s="2">
        <v>45247</v>
      </c>
      <c r="B463" s="1" t="s">
        <v>21</v>
      </c>
      <c r="C463" s="1" t="s">
        <v>19</v>
      </c>
      <c r="D463" s="1" t="s">
        <v>14</v>
      </c>
      <c r="E463" s="1" t="s">
        <v>11</v>
      </c>
      <c r="F463" s="1">
        <v>2</v>
      </c>
      <c r="G463" s="1">
        <v>85.7</v>
      </c>
      <c r="H463" s="1">
        <v>50.34</v>
      </c>
      <c r="I463" s="1">
        <f>TablaVentas[[#This Row],[Precio Unitario]]*TablaVentas[[#This Row],[Cantidad]]</f>
        <v>171.4</v>
      </c>
      <c r="J463" s="1">
        <f>TablaVentas[[#This Row],[Costo Unitario]]*TablaVentas[[#This Row],[Cantidad]]</f>
        <v>100.68</v>
      </c>
      <c r="K463" s="1">
        <f>TablaVentas[[#This Row],[Total Venta]]-TablaVentas[[#This Row],[Total Costo]]</f>
        <v>70.72</v>
      </c>
    </row>
    <row r="464" spans="1:11" x14ac:dyDescent="0.25">
      <c r="A464" s="2">
        <v>45248</v>
      </c>
      <c r="B464" s="1" t="s">
        <v>23</v>
      </c>
      <c r="C464" s="1" t="s">
        <v>9</v>
      </c>
      <c r="D464" s="1" t="s">
        <v>10</v>
      </c>
      <c r="E464" s="1" t="s">
        <v>11</v>
      </c>
      <c r="F464" s="1">
        <v>9</v>
      </c>
      <c r="G464" s="1">
        <v>72.17</v>
      </c>
      <c r="H464" s="1">
        <v>45.39</v>
      </c>
      <c r="I464" s="1">
        <f>TablaVentas[[#This Row],[Precio Unitario]]*TablaVentas[[#This Row],[Cantidad]]</f>
        <v>649.53</v>
      </c>
      <c r="J464" s="1">
        <f>TablaVentas[[#This Row],[Costo Unitario]]*TablaVentas[[#This Row],[Cantidad]]</f>
        <v>408.51</v>
      </c>
      <c r="K464" s="1">
        <f>TablaVentas[[#This Row],[Total Venta]]-TablaVentas[[#This Row],[Total Costo]]</f>
        <v>241.01999999999998</v>
      </c>
    </row>
    <row r="465" spans="1:11" x14ac:dyDescent="0.25">
      <c r="A465" s="2">
        <v>45248</v>
      </c>
      <c r="B465" s="1" t="s">
        <v>8</v>
      </c>
      <c r="C465" s="1" t="s">
        <v>9</v>
      </c>
      <c r="D465" s="1" t="s">
        <v>27</v>
      </c>
      <c r="E465" s="1" t="s">
        <v>22</v>
      </c>
      <c r="F465" s="1">
        <v>4</v>
      </c>
      <c r="G465" s="1">
        <v>772.69</v>
      </c>
      <c r="H465" s="1">
        <v>521.61</v>
      </c>
      <c r="I465" s="1">
        <f>TablaVentas[[#This Row],[Precio Unitario]]*TablaVentas[[#This Row],[Cantidad]]</f>
        <v>3090.76</v>
      </c>
      <c r="J465" s="1">
        <f>TablaVentas[[#This Row],[Costo Unitario]]*TablaVentas[[#This Row],[Cantidad]]</f>
        <v>2086.44</v>
      </c>
      <c r="K465" s="1">
        <f>TablaVentas[[#This Row],[Total Venta]]-TablaVentas[[#This Row],[Total Costo]]</f>
        <v>1004.3200000000002</v>
      </c>
    </row>
    <row r="466" spans="1:11" x14ac:dyDescent="0.25">
      <c r="A466" s="2">
        <v>45248</v>
      </c>
      <c r="B466" s="1" t="s">
        <v>29</v>
      </c>
      <c r="C466" s="1" t="s">
        <v>30</v>
      </c>
      <c r="D466" s="1" t="s">
        <v>27</v>
      </c>
      <c r="E466" s="1" t="s">
        <v>15</v>
      </c>
      <c r="F466" s="1">
        <v>9</v>
      </c>
      <c r="G466" s="1">
        <v>434.75</v>
      </c>
      <c r="H466" s="1">
        <v>302.88</v>
      </c>
      <c r="I466" s="1">
        <f>TablaVentas[[#This Row],[Precio Unitario]]*TablaVentas[[#This Row],[Cantidad]]</f>
        <v>3912.75</v>
      </c>
      <c r="J466" s="1">
        <f>TablaVentas[[#This Row],[Costo Unitario]]*TablaVentas[[#This Row],[Cantidad]]</f>
        <v>2725.92</v>
      </c>
      <c r="K466" s="1">
        <f>TablaVentas[[#This Row],[Total Venta]]-TablaVentas[[#This Row],[Total Costo]]</f>
        <v>1186.83</v>
      </c>
    </row>
    <row r="467" spans="1:11" x14ac:dyDescent="0.25">
      <c r="A467" s="2">
        <v>45248</v>
      </c>
      <c r="B467" s="1" t="s">
        <v>18</v>
      </c>
      <c r="C467" s="1" t="s">
        <v>19</v>
      </c>
      <c r="D467" s="1" t="s">
        <v>17</v>
      </c>
      <c r="E467" s="1" t="s">
        <v>15</v>
      </c>
      <c r="F467" s="1">
        <v>5</v>
      </c>
      <c r="G467" s="1">
        <v>1251.3</v>
      </c>
      <c r="H467" s="1">
        <v>925.9</v>
      </c>
      <c r="I467" s="1">
        <f>TablaVentas[[#This Row],[Precio Unitario]]*TablaVentas[[#This Row],[Cantidad]]</f>
        <v>6256.5</v>
      </c>
      <c r="J467" s="1">
        <f>TablaVentas[[#This Row],[Costo Unitario]]*TablaVentas[[#This Row],[Cantidad]]</f>
        <v>4629.5</v>
      </c>
      <c r="K467" s="1">
        <f>TablaVentas[[#This Row],[Total Venta]]-TablaVentas[[#This Row],[Total Costo]]</f>
        <v>1627</v>
      </c>
    </row>
    <row r="468" spans="1:11" x14ac:dyDescent="0.25">
      <c r="A468" s="2">
        <v>45249</v>
      </c>
      <c r="B468" s="1" t="s">
        <v>32</v>
      </c>
      <c r="C468" s="1" t="s">
        <v>30</v>
      </c>
      <c r="D468" s="1" t="s">
        <v>10</v>
      </c>
      <c r="E468" s="1" t="s">
        <v>22</v>
      </c>
      <c r="F468" s="1">
        <v>8</v>
      </c>
      <c r="G468" s="1">
        <v>281.31</v>
      </c>
      <c r="H468" s="1">
        <v>192.5</v>
      </c>
      <c r="I468" s="1">
        <f>TablaVentas[[#This Row],[Precio Unitario]]*TablaVentas[[#This Row],[Cantidad]]</f>
        <v>2250.48</v>
      </c>
      <c r="J468" s="1">
        <f>TablaVentas[[#This Row],[Costo Unitario]]*TablaVentas[[#This Row],[Cantidad]]</f>
        <v>1540</v>
      </c>
      <c r="K468" s="1">
        <f>TablaVentas[[#This Row],[Total Venta]]-TablaVentas[[#This Row],[Total Costo]]</f>
        <v>710.48</v>
      </c>
    </row>
    <row r="469" spans="1:11" x14ac:dyDescent="0.25">
      <c r="A469" s="2">
        <v>45250</v>
      </c>
      <c r="B469" s="1" t="s">
        <v>32</v>
      </c>
      <c r="C469" s="1" t="s">
        <v>30</v>
      </c>
      <c r="D469" s="1" t="s">
        <v>14</v>
      </c>
      <c r="E469" s="1" t="s">
        <v>20</v>
      </c>
      <c r="F469" s="1">
        <v>6</v>
      </c>
      <c r="G469" s="1">
        <v>350.72</v>
      </c>
      <c r="H469" s="1">
        <v>219.43</v>
      </c>
      <c r="I469" s="1">
        <f>TablaVentas[[#This Row],[Precio Unitario]]*TablaVentas[[#This Row],[Cantidad]]</f>
        <v>2104.3200000000002</v>
      </c>
      <c r="J469" s="1">
        <f>TablaVentas[[#This Row],[Costo Unitario]]*TablaVentas[[#This Row],[Cantidad]]</f>
        <v>1316.58</v>
      </c>
      <c r="K469" s="1">
        <f>TablaVentas[[#This Row],[Total Venta]]-TablaVentas[[#This Row],[Total Costo]]</f>
        <v>787.74000000000024</v>
      </c>
    </row>
    <row r="470" spans="1:11" x14ac:dyDescent="0.25">
      <c r="A470" s="2">
        <v>45250</v>
      </c>
      <c r="B470" s="1" t="s">
        <v>12</v>
      </c>
      <c r="C470" s="1" t="s">
        <v>13</v>
      </c>
      <c r="D470" s="1" t="s">
        <v>27</v>
      </c>
      <c r="E470" s="1" t="s">
        <v>28</v>
      </c>
      <c r="F470" s="1">
        <v>8</v>
      </c>
      <c r="G470" s="1">
        <v>65.05</v>
      </c>
      <c r="H470" s="1">
        <v>44.69</v>
      </c>
      <c r="I470" s="1">
        <f>TablaVentas[[#This Row],[Precio Unitario]]*TablaVentas[[#This Row],[Cantidad]]</f>
        <v>520.4</v>
      </c>
      <c r="J470" s="1">
        <f>TablaVentas[[#This Row],[Costo Unitario]]*TablaVentas[[#This Row],[Cantidad]]</f>
        <v>357.52</v>
      </c>
      <c r="K470" s="1">
        <f>TablaVentas[[#This Row],[Total Venta]]-TablaVentas[[#This Row],[Total Costo]]</f>
        <v>162.88</v>
      </c>
    </row>
    <row r="471" spans="1:11" x14ac:dyDescent="0.25">
      <c r="A471" s="2">
        <v>45252</v>
      </c>
      <c r="B471" s="1" t="s">
        <v>32</v>
      </c>
      <c r="C471" s="1" t="s">
        <v>30</v>
      </c>
      <c r="D471" s="1" t="s">
        <v>14</v>
      </c>
      <c r="E471" s="1" t="s">
        <v>22</v>
      </c>
      <c r="F471" s="1">
        <v>3</v>
      </c>
      <c r="G471" s="1">
        <v>276.36</v>
      </c>
      <c r="H471" s="1">
        <v>213.51</v>
      </c>
      <c r="I471" s="1">
        <f>TablaVentas[[#This Row],[Precio Unitario]]*TablaVentas[[#This Row],[Cantidad]]</f>
        <v>829.08</v>
      </c>
      <c r="J471" s="1">
        <f>TablaVentas[[#This Row],[Costo Unitario]]*TablaVentas[[#This Row],[Cantidad]]</f>
        <v>640.53</v>
      </c>
      <c r="K471" s="1">
        <f>TablaVentas[[#This Row],[Total Venta]]-TablaVentas[[#This Row],[Total Costo]]</f>
        <v>188.55000000000007</v>
      </c>
    </row>
    <row r="472" spans="1:11" x14ac:dyDescent="0.25">
      <c r="A472" s="2">
        <v>45254</v>
      </c>
      <c r="B472" s="1" t="s">
        <v>12</v>
      </c>
      <c r="C472" s="1" t="s">
        <v>13</v>
      </c>
      <c r="D472" s="1" t="s">
        <v>24</v>
      </c>
      <c r="E472" s="1" t="s">
        <v>28</v>
      </c>
      <c r="F472" s="1">
        <v>6</v>
      </c>
      <c r="G472" s="1">
        <v>63.76</v>
      </c>
      <c r="H472" s="1">
        <v>43.29</v>
      </c>
      <c r="I472" s="1">
        <f>TablaVentas[[#This Row],[Precio Unitario]]*TablaVentas[[#This Row],[Cantidad]]</f>
        <v>382.56</v>
      </c>
      <c r="J472" s="1">
        <f>TablaVentas[[#This Row],[Costo Unitario]]*TablaVentas[[#This Row],[Cantidad]]</f>
        <v>259.74</v>
      </c>
      <c r="K472" s="1">
        <f>TablaVentas[[#This Row],[Total Venta]]-TablaVentas[[#This Row],[Total Costo]]</f>
        <v>122.82</v>
      </c>
    </row>
    <row r="473" spans="1:11" x14ac:dyDescent="0.25">
      <c r="A473" s="2">
        <v>45254</v>
      </c>
      <c r="B473" s="1" t="s">
        <v>8</v>
      </c>
      <c r="C473" s="1" t="s">
        <v>9</v>
      </c>
      <c r="D473" s="1" t="s">
        <v>27</v>
      </c>
      <c r="E473" s="1" t="s">
        <v>20</v>
      </c>
      <c r="F473" s="1">
        <v>6</v>
      </c>
      <c r="G473" s="1">
        <v>596.51</v>
      </c>
      <c r="H473" s="1">
        <v>433.12</v>
      </c>
      <c r="I473" s="1">
        <f>TablaVentas[[#This Row],[Precio Unitario]]*TablaVentas[[#This Row],[Cantidad]]</f>
        <v>3579.06</v>
      </c>
      <c r="J473" s="1">
        <f>TablaVentas[[#This Row],[Costo Unitario]]*TablaVentas[[#This Row],[Cantidad]]</f>
        <v>2598.7200000000003</v>
      </c>
      <c r="K473" s="1">
        <f>TablaVentas[[#This Row],[Total Venta]]-TablaVentas[[#This Row],[Total Costo]]</f>
        <v>980.33999999999969</v>
      </c>
    </row>
    <row r="474" spans="1:11" x14ac:dyDescent="0.25">
      <c r="A474" s="2">
        <v>45255</v>
      </c>
      <c r="B474" s="1" t="s">
        <v>26</v>
      </c>
      <c r="C474" s="1" t="s">
        <v>19</v>
      </c>
      <c r="D474" s="1" t="s">
        <v>25</v>
      </c>
      <c r="E474" s="1" t="s">
        <v>20</v>
      </c>
      <c r="F474" s="1">
        <v>10</v>
      </c>
      <c r="G474" s="1">
        <v>43.67</v>
      </c>
      <c r="H474" s="1">
        <v>25.08</v>
      </c>
      <c r="I474" s="1">
        <f>TablaVentas[[#This Row],[Precio Unitario]]*TablaVentas[[#This Row],[Cantidad]]</f>
        <v>436.70000000000005</v>
      </c>
      <c r="J474" s="1">
        <f>TablaVentas[[#This Row],[Costo Unitario]]*TablaVentas[[#This Row],[Cantidad]]</f>
        <v>250.79999999999998</v>
      </c>
      <c r="K474" s="1">
        <f>TablaVentas[[#This Row],[Total Venta]]-TablaVentas[[#This Row],[Total Costo]]</f>
        <v>185.90000000000006</v>
      </c>
    </row>
    <row r="475" spans="1:11" x14ac:dyDescent="0.25">
      <c r="A475" s="2">
        <v>45256</v>
      </c>
      <c r="B475" s="1" t="s">
        <v>21</v>
      </c>
      <c r="C475" s="1" t="s">
        <v>19</v>
      </c>
      <c r="D475" s="1" t="s">
        <v>33</v>
      </c>
      <c r="E475" s="1" t="s">
        <v>28</v>
      </c>
      <c r="F475" s="1">
        <v>9</v>
      </c>
      <c r="G475" s="1">
        <v>80.28</v>
      </c>
      <c r="H475" s="1">
        <v>51.14</v>
      </c>
      <c r="I475" s="1">
        <f>TablaVentas[[#This Row],[Precio Unitario]]*TablaVentas[[#This Row],[Cantidad]]</f>
        <v>722.52</v>
      </c>
      <c r="J475" s="1">
        <f>TablaVentas[[#This Row],[Costo Unitario]]*TablaVentas[[#This Row],[Cantidad]]</f>
        <v>460.26</v>
      </c>
      <c r="K475" s="1">
        <f>TablaVentas[[#This Row],[Total Venta]]-TablaVentas[[#This Row],[Total Costo]]</f>
        <v>262.26</v>
      </c>
    </row>
    <row r="476" spans="1:11" x14ac:dyDescent="0.25">
      <c r="A476" s="2">
        <v>45257</v>
      </c>
      <c r="B476" s="1" t="s">
        <v>8</v>
      </c>
      <c r="C476" s="1" t="s">
        <v>9</v>
      </c>
      <c r="D476" s="1" t="s">
        <v>31</v>
      </c>
      <c r="E476" s="1" t="s">
        <v>11</v>
      </c>
      <c r="F476" s="1">
        <v>2</v>
      </c>
      <c r="G476" s="1">
        <v>644.70000000000005</v>
      </c>
      <c r="H476" s="1">
        <v>504.96</v>
      </c>
      <c r="I476" s="1">
        <f>TablaVentas[[#This Row],[Precio Unitario]]*TablaVentas[[#This Row],[Cantidad]]</f>
        <v>1289.4000000000001</v>
      </c>
      <c r="J476" s="1">
        <f>TablaVentas[[#This Row],[Costo Unitario]]*TablaVentas[[#This Row],[Cantidad]]</f>
        <v>1009.92</v>
      </c>
      <c r="K476" s="1">
        <f>TablaVentas[[#This Row],[Total Venta]]-TablaVentas[[#This Row],[Total Costo]]</f>
        <v>279.48000000000013</v>
      </c>
    </row>
    <row r="477" spans="1:11" x14ac:dyDescent="0.25">
      <c r="A477" s="2">
        <v>45257</v>
      </c>
      <c r="B477" s="1" t="s">
        <v>8</v>
      </c>
      <c r="C477" s="1" t="s">
        <v>9</v>
      </c>
      <c r="D477" s="1" t="s">
        <v>31</v>
      </c>
      <c r="E477" s="1" t="s">
        <v>15</v>
      </c>
      <c r="F477" s="1">
        <v>10</v>
      </c>
      <c r="G477" s="1">
        <v>629.76</v>
      </c>
      <c r="H477" s="1">
        <v>516.29999999999995</v>
      </c>
      <c r="I477" s="1">
        <f>TablaVentas[[#This Row],[Precio Unitario]]*TablaVentas[[#This Row],[Cantidad]]</f>
        <v>6297.6</v>
      </c>
      <c r="J477" s="1">
        <f>TablaVentas[[#This Row],[Costo Unitario]]*TablaVentas[[#This Row],[Cantidad]]</f>
        <v>5163</v>
      </c>
      <c r="K477" s="1">
        <f>TablaVentas[[#This Row],[Total Venta]]-TablaVentas[[#This Row],[Total Costo]]</f>
        <v>1134.6000000000004</v>
      </c>
    </row>
    <row r="478" spans="1:11" x14ac:dyDescent="0.25">
      <c r="A478" s="2">
        <v>45258</v>
      </c>
      <c r="B478" s="1" t="s">
        <v>18</v>
      </c>
      <c r="C478" s="1" t="s">
        <v>19</v>
      </c>
      <c r="D478" s="1" t="s">
        <v>10</v>
      </c>
      <c r="E478" s="1" t="s">
        <v>20</v>
      </c>
      <c r="F478" s="1">
        <v>10</v>
      </c>
      <c r="G478" s="1">
        <v>1194.71</v>
      </c>
      <c r="H478" s="1">
        <v>806.09</v>
      </c>
      <c r="I478" s="1">
        <f>TablaVentas[[#This Row],[Precio Unitario]]*TablaVentas[[#This Row],[Cantidad]]</f>
        <v>11947.1</v>
      </c>
      <c r="J478" s="1">
        <f>TablaVentas[[#This Row],[Costo Unitario]]*TablaVentas[[#This Row],[Cantidad]]</f>
        <v>8060.9000000000005</v>
      </c>
      <c r="K478" s="1">
        <f>TablaVentas[[#This Row],[Total Venta]]-TablaVentas[[#This Row],[Total Costo]]</f>
        <v>3886.2</v>
      </c>
    </row>
    <row r="479" spans="1:11" x14ac:dyDescent="0.25">
      <c r="A479" s="2">
        <v>45258</v>
      </c>
      <c r="B479" s="1" t="s">
        <v>18</v>
      </c>
      <c r="C479" s="1" t="s">
        <v>19</v>
      </c>
      <c r="D479" s="1" t="s">
        <v>33</v>
      </c>
      <c r="E479" s="1" t="s">
        <v>11</v>
      </c>
      <c r="F479" s="1">
        <v>6</v>
      </c>
      <c r="G479" s="1">
        <v>1374.79</v>
      </c>
      <c r="H479" s="1">
        <v>826.58</v>
      </c>
      <c r="I479" s="1">
        <f>TablaVentas[[#This Row],[Precio Unitario]]*TablaVentas[[#This Row],[Cantidad]]</f>
        <v>8248.74</v>
      </c>
      <c r="J479" s="1">
        <f>TablaVentas[[#This Row],[Costo Unitario]]*TablaVentas[[#This Row],[Cantidad]]</f>
        <v>4959.4800000000005</v>
      </c>
      <c r="K479" s="1">
        <f>TablaVentas[[#This Row],[Total Venta]]-TablaVentas[[#This Row],[Total Costo]]</f>
        <v>3289.2599999999993</v>
      </c>
    </row>
    <row r="480" spans="1:11" x14ac:dyDescent="0.25">
      <c r="A480" s="2">
        <v>45259</v>
      </c>
      <c r="B480" s="1" t="s">
        <v>32</v>
      </c>
      <c r="C480" s="1" t="s">
        <v>30</v>
      </c>
      <c r="D480" s="1" t="s">
        <v>31</v>
      </c>
      <c r="E480" s="1" t="s">
        <v>15</v>
      </c>
      <c r="F480" s="1">
        <v>6</v>
      </c>
      <c r="G480" s="1">
        <v>340.24</v>
      </c>
      <c r="H480" s="1">
        <v>201.71</v>
      </c>
      <c r="I480" s="1">
        <f>TablaVentas[[#This Row],[Precio Unitario]]*TablaVentas[[#This Row],[Cantidad]]</f>
        <v>2041.44</v>
      </c>
      <c r="J480" s="1">
        <f>TablaVentas[[#This Row],[Costo Unitario]]*TablaVentas[[#This Row],[Cantidad]]</f>
        <v>1210.26</v>
      </c>
      <c r="K480" s="1">
        <f>TablaVentas[[#This Row],[Total Venta]]-TablaVentas[[#This Row],[Total Costo]]</f>
        <v>831.18000000000006</v>
      </c>
    </row>
    <row r="481" spans="1:11" x14ac:dyDescent="0.25">
      <c r="A481" s="2">
        <v>45262</v>
      </c>
      <c r="B481" s="1" t="s">
        <v>29</v>
      </c>
      <c r="C481" s="1" t="s">
        <v>30</v>
      </c>
      <c r="D481" s="1" t="s">
        <v>17</v>
      </c>
      <c r="E481" s="1" t="s">
        <v>20</v>
      </c>
      <c r="F481" s="1">
        <v>8</v>
      </c>
      <c r="G481" s="1">
        <v>433.28</v>
      </c>
      <c r="H481" s="1">
        <v>302.97000000000003</v>
      </c>
      <c r="I481" s="1">
        <f>TablaVentas[[#This Row],[Precio Unitario]]*TablaVentas[[#This Row],[Cantidad]]</f>
        <v>3466.24</v>
      </c>
      <c r="J481" s="1">
        <f>TablaVentas[[#This Row],[Costo Unitario]]*TablaVentas[[#This Row],[Cantidad]]</f>
        <v>2423.7600000000002</v>
      </c>
      <c r="K481" s="1">
        <f>TablaVentas[[#This Row],[Total Venta]]-TablaVentas[[#This Row],[Total Costo]]</f>
        <v>1042.4799999999996</v>
      </c>
    </row>
    <row r="482" spans="1:11" x14ac:dyDescent="0.25">
      <c r="A482" s="2">
        <v>45262</v>
      </c>
      <c r="B482" s="1" t="s">
        <v>21</v>
      </c>
      <c r="C482" s="1" t="s">
        <v>19</v>
      </c>
      <c r="D482" s="1" t="s">
        <v>31</v>
      </c>
      <c r="E482" s="1" t="s">
        <v>22</v>
      </c>
      <c r="F482" s="1">
        <v>10</v>
      </c>
      <c r="G482" s="1">
        <v>92.09</v>
      </c>
      <c r="H482" s="1">
        <v>52.16</v>
      </c>
      <c r="I482" s="1">
        <f>TablaVentas[[#This Row],[Precio Unitario]]*TablaVentas[[#This Row],[Cantidad]]</f>
        <v>920.90000000000009</v>
      </c>
      <c r="J482" s="1">
        <f>TablaVentas[[#This Row],[Costo Unitario]]*TablaVentas[[#This Row],[Cantidad]]</f>
        <v>521.59999999999991</v>
      </c>
      <c r="K482" s="1">
        <f>TablaVentas[[#This Row],[Total Venta]]-TablaVentas[[#This Row],[Total Costo]]</f>
        <v>399.30000000000018</v>
      </c>
    </row>
    <row r="483" spans="1:11" x14ac:dyDescent="0.25">
      <c r="A483" s="2">
        <v>45264</v>
      </c>
      <c r="B483" s="1" t="s">
        <v>32</v>
      </c>
      <c r="C483" s="1" t="s">
        <v>30</v>
      </c>
      <c r="D483" s="1" t="s">
        <v>25</v>
      </c>
      <c r="E483" s="1" t="s">
        <v>11</v>
      </c>
      <c r="F483" s="1">
        <v>1</v>
      </c>
      <c r="G483" s="1">
        <v>295.41000000000003</v>
      </c>
      <c r="H483" s="1">
        <v>230.12</v>
      </c>
      <c r="I483" s="1">
        <f>TablaVentas[[#This Row],[Precio Unitario]]*TablaVentas[[#This Row],[Cantidad]]</f>
        <v>295.41000000000003</v>
      </c>
      <c r="J483" s="1">
        <f>TablaVentas[[#This Row],[Costo Unitario]]*TablaVentas[[#This Row],[Cantidad]]</f>
        <v>230.12</v>
      </c>
      <c r="K483" s="1">
        <f>TablaVentas[[#This Row],[Total Venta]]-TablaVentas[[#This Row],[Total Costo]]</f>
        <v>65.29000000000002</v>
      </c>
    </row>
    <row r="484" spans="1:11" x14ac:dyDescent="0.25">
      <c r="A484" s="2">
        <v>45264</v>
      </c>
      <c r="B484" s="1" t="s">
        <v>23</v>
      </c>
      <c r="C484" s="1" t="s">
        <v>9</v>
      </c>
      <c r="D484" s="1" t="s">
        <v>17</v>
      </c>
      <c r="E484" s="1" t="s">
        <v>15</v>
      </c>
      <c r="F484" s="1">
        <v>2</v>
      </c>
      <c r="G484" s="1">
        <v>66</v>
      </c>
      <c r="H484" s="1">
        <v>40.96</v>
      </c>
      <c r="I484" s="1">
        <f>TablaVentas[[#This Row],[Precio Unitario]]*TablaVentas[[#This Row],[Cantidad]]</f>
        <v>132</v>
      </c>
      <c r="J484" s="1">
        <f>TablaVentas[[#This Row],[Costo Unitario]]*TablaVentas[[#This Row],[Cantidad]]</f>
        <v>81.92</v>
      </c>
      <c r="K484" s="1">
        <f>TablaVentas[[#This Row],[Total Venta]]-TablaVentas[[#This Row],[Total Costo]]</f>
        <v>50.08</v>
      </c>
    </row>
    <row r="485" spans="1:11" x14ac:dyDescent="0.25">
      <c r="A485" s="2">
        <v>45264</v>
      </c>
      <c r="B485" s="1" t="s">
        <v>23</v>
      </c>
      <c r="C485" s="1" t="s">
        <v>9</v>
      </c>
      <c r="D485" s="1" t="s">
        <v>10</v>
      </c>
      <c r="E485" s="1" t="s">
        <v>20</v>
      </c>
      <c r="F485" s="1">
        <v>5</v>
      </c>
      <c r="G485" s="1">
        <v>83.43</v>
      </c>
      <c r="H485" s="1">
        <v>48.05</v>
      </c>
      <c r="I485" s="1">
        <f>TablaVentas[[#This Row],[Precio Unitario]]*TablaVentas[[#This Row],[Cantidad]]</f>
        <v>417.15000000000003</v>
      </c>
      <c r="J485" s="1">
        <f>TablaVentas[[#This Row],[Costo Unitario]]*TablaVentas[[#This Row],[Cantidad]]</f>
        <v>240.25</v>
      </c>
      <c r="K485" s="1">
        <f>TablaVentas[[#This Row],[Total Venta]]-TablaVentas[[#This Row],[Total Costo]]</f>
        <v>176.90000000000003</v>
      </c>
    </row>
    <row r="486" spans="1:11" x14ac:dyDescent="0.25">
      <c r="A486" s="2">
        <v>45265</v>
      </c>
      <c r="B486" s="1" t="s">
        <v>26</v>
      </c>
      <c r="C486" s="1" t="s">
        <v>19</v>
      </c>
      <c r="D486" s="1" t="s">
        <v>31</v>
      </c>
      <c r="E486" s="1" t="s">
        <v>15</v>
      </c>
      <c r="F486" s="1">
        <v>1</v>
      </c>
      <c r="G486" s="1">
        <v>47.9</v>
      </c>
      <c r="H486" s="1">
        <v>25.17</v>
      </c>
      <c r="I486" s="1">
        <f>TablaVentas[[#This Row],[Precio Unitario]]*TablaVentas[[#This Row],[Cantidad]]</f>
        <v>47.9</v>
      </c>
      <c r="J486" s="1">
        <f>TablaVentas[[#This Row],[Costo Unitario]]*TablaVentas[[#This Row],[Cantidad]]</f>
        <v>25.17</v>
      </c>
      <c r="K486" s="1">
        <f>TablaVentas[[#This Row],[Total Venta]]-TablaVentas[[#This Row],[Total Costo]]</f>
        <v>22.729999999999997</v>
      </c>
    </row>
    <row r="487" spans="1:11" x14ac:dyDescent="0.25">
      <c r="A487" s="2">
        <v>45266</v>
      </c>
      <c r="B487" s="1" t="s">
        <v>26</v>
      </c>
      <c r="C487" s="1" t="s">
        <v>19</v>
      </c>
      <c r="D487" s="1" t="s">
        <v>10</v>
      </c>
      <c r="E487" s="1" t="s">
        <v>11</v>
      </c>
      <c r="F487" s="1">
        <v>6</v>
      </c>
      <c r="G487" s="1">
        <v>48.29</v>
      </c>
      <c r="H487" s="1">
        <v>22.77</v>
      </c>
      <c r="I487" s="1">
        <f>TablaVentas[[#This Row],[Precio Unitario]]*TablaVentas[[#This Row],[Cantidad]]</f>
        <v>289.74</v>
      </c>
      <c r="J487" s="1">
        <f>TablaVentas[[#This Row],[Costo Unitario]]*TablaVentas[[#This Row],[Cantidad]]</f>
        <v>136.62</v>
      </c>
      <c r="K487" s="1">
        <f>TablaVentas[[#This Row],[Total Venta]]-TablaVentas[[#This Row],[Total Costo]]</f>
        <v>153.12</v>
      </c>
    </row>
    <row r="488" spans="1:11" x14ac:dyDescent="0.25">
      <c r="A488" s="2">
        <v>45266</v>
      </c>
      <c r="B488" s="1" t="s">
        <v>18</v>
      </c>
      <c r="C488" s="1" t="s">
        <v>19</v>
      </c>
      <c r="D488" s="1" t="s">
        <v>24</v>
      </c>
      <c r="E488" s="1" t="s">
        <v>15</v>
      </c>
      <c r="F488" s="1">
        <v>2</v>
      </c>
      <c r="G488" s="1">
        <v>1274.02</v>
      </c>
      <c r="H488" s="1">
        <v>883.06</v>
      </c>
      <c r="I488" s="1">
        <f>TablaVentas[[#This Row],[Precio Unitario]]*TablaVentas[[#This Row],[Cantidad]]</f>
        <v>2548.04</v>
      </c>
      <c r="J488" s="1">
        <f>TablaVentas[[#This Row],[Costo Unitario]]*TablaVentas[[#This Row],[Cantidad]]</f>
        <v>1766.12</v>
      </c>
      <c r="K488" s="1">
        <f>TablaVentas[[#This Row],[Total Venta]]-TablaVentas[[#This Row],[Total Costo]]</f>
        <v>781.92000000000007</v>
      </c>
    </row>
    <row r="489" spans="1:11" x14ac:dyDescent="0.25">
      <c r="A489" s="2">
        <v>45267</v>
      </c>
      <c r="B489" s="1" t="s">
        <v>16</v>
      </c>
      <c r="C489" s="1" t="s">
        <v>13</v>
      </c>
      <c r="D489" s="1" t="s">
        <v>25</v>
      </c>
      <c r="E489" s="1" t="s">
        <v>28</v>
      </c>
      <c r="F489" s="1">
        <v>8</v>
      </c>
      <c r="G489" s="1">
        <v>50.14</v>
      </c>
      <c r="H489" s="1">
        <v>32.659999999999997</v>
      </c>
      <c r="I489" s="1">
        <f>TablaVentas[[#This Row],[Precio Unitario]]*TablaVentas[[#This Row],[Cantidad]]</f>
        <v>401.12</v>
      </c>
      <c r="J489" s="1">
        <f>TablaVentas[[#This Row],[Costo Unitario]]*TablaVentas[[#This Row],[Cantidad]]</f>
        <v>261.27999999999997</v>
      </c>
      <c r="K489" s="1">
        <f>TablaVentas[[#This Row],[Total Venta]]-TablaVentas[[#This Row],[Total Costo]]</f>
        <v>139.84000000000003</v>
      </c>
    </row>
    <row r="490" spans="1:11" x14ac:dyDescent="0.25">
      <c r="A490" s="2">
        <v>45267</v>
      </c>
      <c r="B490" s="1" t="s">
        <v>32</v>
      </c>
      <c r="C490" s="1" t="s">
        <v>30</v>
      </c>
      <c r="D490" s="1" t="s">
        <v>14</v>
      </c>
      <c r="E490" s="1" t="s">
        <v>20</v>
      </c>
      <c r="F490" s="1">
        <v>6</v>
      </c>
      <c r="G490" s="1">
        <v>316.64999999999998</v>
      </c>
      <c r="H490" s="1">
        <v>204.95</v>
      </c>
      <c r="I490" s="1">
        <f>TablaVentas[[#This Row],[Precio Unitario]]*TablaVentas[[#This Row],[Cantidad]]</f>
        <v>1899.8999999999999</v>
      </c>
      <c r="J490" s="1">
        <f>TablaVentas[[#This Row],[Costo Unitario]]*TablaVentas[[#This Row],[Cantidad]]</f>
        <v>1229.6999999999998</v>
      </c>
      <c r="K490" s="1">
        <f>TablaVentas[[#This Row],[Total Venta]]-TablaVentas[[#This Row],[Total Costo]]</f>
        <v>670.2</v>
      </c>
    </row>
    <row r="491" spans="1:11" x14ac:dyDescent="0.25">
      <c r="A491" s="2">
        <v>45267</v>
      </c>
      <c r="B491" s="1" t="s">
        <v>32</v>
      </c>
      <c r="C491" s="1" t="s">
        <v>30</v>
      </c>
      <c r="D491" s="1" t="s">
        <v>14</v>
      </c>
      <c r="E491" s="1" t="s">
        <v>15</v>
      </c>
      <c r="F491" s="1">
        <v>10</v>
      </c>
      <c r="G491" s="1">
        <v>291.06</v>
      </c>
      <c r="H491" s="1">
        <v>202.87</v>
      </c>
      <c r="I491" s="1">
        <f>TablaVentas[[#This Row],[Precio Unitario]]*TablaVentas[[#This Row],[Cantidad]]</f>
        <v>2910.6</v>
      </c>
      <c r="J491" s="1">
        <f>TablaVentas[[#This Row],[Costo Unitario]]*TablaVentas[[#This Row],[Cantidad]]</f>
        <v>2028.7</v>
      </c>
      <c r="K491" s="1">
        <f>TablaVentas[[#This Row],[Total Venta]]-TablaVentas[[#This Row],[Total Costo]]</f>
        <v>881.89999999999986</v>
      </c>
    </row>
    <row r="492" spans="1:11" x14ac:dyDescent="0.25">
      <c r="A492" s="2">
        <v>45268</v>
      </c>
      <c r="B492" s="1" t="s">
        <v>21</v>
      </c>
      <c r="C492" s="1" t="s">
        <v>19</v>
      </c>
      <c r="D492" s="1" t="s">
        <v>27</v>
      </c>
      <c r="E492" s="1" t="s">
        <v>20</v>
      </c>
      <c r="F492" s="1">
        <v>3</v>
      </c>
      <c r="G492" s="1">
        <v>95.88</v>
      </c>
      <c r="H492" s="1">
        <v>52.11</v>
      </c>
      <c r="I492" s="1">
        <f>TablaVentas[[#This Row],[Precio Unitario]]*TablaVentas[[#This Row],[Cantidad]]</f>
        <v>287.64</v>
      </c>
      <c r="J492" s="1">
        <f>TablaVentas[[#This Row],[Costo Unitario]]*TablaVentas[[#This Row],[Cantidad]]</f>
        <v>156.32999999999998</v>
      </c>
      <c r="K492" s="1">
        <f>TablaVentas[[#This Row],[Total Venta]]-TablaVentas[[#This Row],[Total Costo]]</f>
        <v>131.31</v>
      </c>
    </row>
    <row r="493" spans="1:11" x14ac:dyDescent="0.25">
      <c r="A493" s="2">
        <v>45270</v>
      </c>
      <c r="B493" s="1" t="s">
        <v>12</v>
      </c>
      <c r="C493" s="1" t="s">
        <v>13</v>
      </c>
      <c r="D493" s="1" t="s">
        <v>33</v>
      </c>
      <c r="E493" s="1" t="s">
        <v>22</v>
      </c>
      <c r="F493" s="1">
        <v>10</v>
      </c>
      <c r="G493" s="1">
        <v>59.99</v>
      </c>
      <c r="H493" s="1">
        <v>43.46</v>
      </c>
      <c r="I493" s="1">
        <f>TablaVentas[[#This Row],[Precio Unitario]]*TablaVentas[[#This Row],[Cantidad]]</f>
        <v>599.9</v>
      </c>
      <c r="J493" s="1">
        <f>TablaVentas[[#This Row],[Costo Unitario]]*TablaVentas[[#This Row],[Cantidad]]</f>
        <v>434.6</v>
      </c>
      <c r="K493" s="1">
        <f>TablaVentas[[#This Row],[Total Venta]]-TablaVentas[[#This Row],[Total Costo]]</f>
        <v>165.29999999999995</v>
      </c>
    </row>
    <row r="494" spans="1:11" x14ac:dyDescent="0.25">
      <c r="A494" s="2">
        <v>45270</v>
      </c>
      <c r="B494" s="1" t="s">
        <v>32</v>
      </c>
      <c r="C494" s="1" t="s">
        <v>30</v>
      </c>
      <c r="D494" s="1" t="s">
        <v>17</v>
      </c>
      <c r="E494" s="1" t="s">
        <v>22</v>
      </c>
      <c r="F494" s="1">
        <v>6</v>
      </c>
      <c r="G494" s="1">
        <v>284.14</v>
      </c>
      <c r="H494" s="1">
        <v>199.85</v>
      </c>
      <c r="I494" s="1">
        <f>TablaVentas[[#This Row],[Precio Unitario]]*TablaVentas[[#This Row],[Cantidad]]</f>
        <v>1704.84</v>
      </c>
      <c r="J494" s="1">
        <f>TablaVentas[[#This Row],[Costo Unitario]]*TablaVentas[[#This Row],[Cantidad]]</f>
        <v>1199.0999999999999</v>
      </c>
      <c r="K494" s="1">
        <f>TablaVentas[[#This Row],[Total Venta]]-TablaVentas[[#This Row],[Total Costo]]</f>
        <v>505.74</v>
      </c>
    </row>
    <row r="495" spans="1:11" x14ac:dyDescent="0.25">
      <c r="A495" s="2">
        <v>45272</v>
      </c>
      <c r="B495" s="1" t="s">
        <v>34</v>
      </c>
      <c r="C495" s="1" t="s">
        <v>13</v>
      </c>
      <c r="D495" s="1" t="s">
        <v>10</v>
      </c>
      <c r="E495" s="1" t="s">
        <v>15</v>
      </c>
      <c r="F495" s="1">
        <v>4</v>
      </c>
      <c r="G495" s="1">
        <v>277.3</v>
      </c>
      <c r="H495" s="1">
        <v>204.98</v>
      </c>
      <c r="I495" s="1">
        <f>TablaVentas[[#This Row],[Precio Unitario]]*TablaVentas[[#This Row],[Cantidad]]</f>
        <v>1109.2</v>
      </c>
      <c r="J495" s="1">
        <f>TablaVentas[[#This Row],[Costo Unitario]]*TablaVentas[[#This Row],[Cantidad]]</f>
        <v>819.92</v>
      </c>
      <c r="K495" s="1">
        <f>TablaVentas[[#This Row],[Total Venta]]-TablaVentas[[#This Row],[Total Costo]]</f>
        <v>289.28000000000009</v>
      </c>
    </row>
    <row r="496" spans="1:11" x14ac:dyDescent="0.25">
      <c r="A496" s="2">
        <v>45272</v>
      </c>
      <c r="B496" s="1" t="s">
        <v>34</v>
      </c>
      <c r="C496" s="1" t="s">
        <v>13</v>
      </c>
      <c r="D496" s="1" t="s">
        <v>24</v>
      </c>
      <c r="E496" s="1" t="s">
        <v>15</v>
      </c>
      <c r="F496" s="1">
        <v>5</v>
      </c>
      <c r="G496" s="1">
        <v>257.87</v>
      </c>
      <c r="H496" s="1">
        <v>177.57</v>
      </c>
      <c r="I496" s="1">
        <f>TablaVentas[[#This Row],[Precio Unitario]]*TablaVentas[[#This Row],[Cantidad]]</f>
        <v>1289.3499999999999</v>
      </c>
      <c r="J496" s="1">
        <f>TablaVentas[[#This Row],[Costo Unitario]]*TablaVentas[[#This Row],[Cantidad]]</f>
        <v>887.84999999999991</v>
      </c>
      <c r="K496" s="1">
        <f>TablaVentas[[#This Row],[Total Venta]]-TablaVentas[[#This Row],[Total Costo]]</f>
        <v>401.5</v>
      </c>
    </row>
    <row r="497" spans="1:11" x14ac:dyDescent="0.25">
      <c r="A497" s="2">
        <v>45272</v>
      </c>
      <c r="B497" s="1" t="s">
        <v>29</v>
      </c>
      <c r="C497" s="1" t="s">
        <v>30</v>
      </c>
      <c r="D497" s="1" t="s">
        <v>33</v>
      </c>
      <c r="E497" s="1" t="s">
        <v>22</v>
      </c>
      <c r="F497" s="1">
        <v>6</v>
      </c>
      <c r="G497" s="1">
        <v>489.38</v>
      </c>
      <c r="H497" s="1">
        <v>325.54000000000002</v>
      </c>
      <c r="I497" s="1">
        <f>TablaVentas[[#This Row],[Precio Unitario]]*TablaVentas[[#This Row],[Cantidad]]</f>
        <v>2936.2799999999997</v>
      </c>
      <c r="J497" s="1">
        <f>TablaVentas[[#This Row],[Costo Unitario]]*TablaVentas[[#This Row],[Cantidad]]</f>
        <v>1953.2400000000002</v>
      </c>
      <c r="K497" s="1">
        <f>TablaVentas[[#This Row],[Total Venta]]-TablaVentas[[#This Row],[Total Costo]]</f>
        <v>983.03999999999951</v>
      </c>
    </row>
    <row r="498" spans="1:11" x14ac:dyDescent="0.25">
      <c r="A498" s="2">
        <v>45272</v>
      </c>
      <c r="B498" s="1" t="s">
        <v>29</v>
      </c>
      <c r="C498" s="1" t="s">
        <v>30</v>
      </c>
      <c r="D498" s="1" t="s">
        <v>14</v>
      </c>
      <c r="E498" s="1" t="s">
        <v>20</v>
      </c>
      <c r="F498" s="1">
        <v>2</v>
      </c>
      <c r="G498" s="1">
        <v>443.34</v>
      </c>
      <c r="H498" s="1">
        <v>300.61</v>
      </c>
      <c r="I498" s="1">
        <f>TablaVentas[[#This Row],[Precio Unitario]]*TablaVentas[[#This Row],[Cantidad]]</f>
        <v>886.68</v>
      </c>
      <c r="J498" s="1">
        <f>TablaVentas[[#This Row],[Costo Unitario]]*TablaVentas[[#This Row],[Cantidad]]</f>
        <v>601.22</v>
      </c>
      <c r="K498" s="1">
        <f>TablaVentas[[#This Row],[Total Venta]]-TablaVentas[[#This Row],[Total Costo]]</f>
        <v>285.45999999999992</v>
      </c>
    </row>
    <row r="499" spans="1:11" x14ac:dyDescent="0.25">
      <c r="A499" s="2">
        <v>45272</v>
      </c>
      <c r="B499" s="1" t="s">
        <v>32</v>
      </c>
      <c r="C499" s="1" t="s">
        <v>30</v>
      </c>
      <c r="D499" s="1" t="s">
        <v>27</v>
      </c>
      <c r="E499" s="1" t="s">
        <v>22</v>
      </c>
      <c r="F499" s="1">
        <v>5</v>
      </c>
      <c r="G499" s="1">
        <v>335.07</v>
      </c>
      <c r="H499" s="1">
        <v>191.63</v>
      </c>
      <c r="I499" s="1">
        <f>TablaVentas[[#This Row],[Precio Unitario]]*TablaVentas[[#This Row],[Cantidad]]</f>
        <v>1675.35</v>
      </c>
      <c r="J499" s="1">
        <f>TablaVentas[[#This Row],[Costo Unitario]]*TablaVentas[[#This Row],[Cantidad]]</f>
        <v>958.15</v>
      </c>
      <c r="K499" s="1">
        <f>TablaVentas[[#This Row],[Total Venta]]-TablaVentas[[#This Row],[Total Costo]]</f>
        <v>717.19999999999993</v>
      </c>
    </row>
    <row r="500" spans="1:11" x14ac:dyDescent="0.25">
      <c r="A500" s="2">
        <v>45274</v>
      </c>
      <c r="B500" s="1" t="s">
        <v>8</v>
      </c>
      <c r="C500" s="1" t="s">
        <v>9</v>
      </c>
      <c r="D500" s="1" t="s">
        <v>14</v>
      </c>
      <c r="E500" s="1" t="s">
        <v>22</v>
      </c>
      <c r="F500" s="1">
        <v>9</v>
      </c>
      <c r="G500" s="1">
        <v>660.66</v>
      </c>
      <c r="H500" s="1">
        <v>442.38</v>
      </c>
      <c r="I500" s="1">
        <f>TablaVentas[[#This Row],[Precio Unitario]]*TablaVentas[[#This Row],[Cantidad]]</f>
        <v>5945.94</v>
      </c>
      <c r="J500" s="1">
        <f>TablaVentas[[#This Row],[Costo Unitario]]*TablaVentas[[#This Row],[Cantidad]]</f>
        <v>3981.42</v>
      </c>
      <c r="K500" s="1">
        <f>TablaVentas[[#This Row],[Total Venta]]-TablaVentas[[#This Row],[Total Costo]]</f>
        <v>1964.5199999999995</v>
      </c>
    </row>
    <row r="501" spans="1:11" x14ac:dyDescent="0.25">
      <c r="A501" s="2">
        <v>45275</v>
      </c>
      <c r="B501" s="1" t="s">
        <v>26</v>
      </c>
      <c r="C501" s="1" t="s">
        <v>19</v>
      </c>
      <c r="D501" s="1" t="s">
        <v>14</v>
      </c>
      <c r="E501" s="1" t="s">
        <v>28</v>
      </c>
      <c r="F501" s="1">
        <v>7</v>
      </c>
      <c r="G501" s="1">
        <v>48.81</v>
      </c>
      <c r="H501" s="1">
        <v>23.31</v>
      </c>
      <c r="I501" s="1">
        <f>TablaVentas[[#This Row],[Precio Unitario]]*TablaVentas[[#This Row],[Cantidad]]</f>
        <v>341.67</v>
      </c>
      <c r="J501" s="1">
        <f>TablaVentas[[#This Row],[Costo Unitario]]*TablaVentas[[#This Row],[Cantidad]]</f>
        <v>163.16999999999999</v>
      </c>
      <c r="K501" s="1">
        <f>TablaVentas[[#This Row],[Total Venta]]-TablaVentas[[#This Row],[Total Costo]]</f>
        <v>178.50000000000003</v>
      </c>
    </row>
    <row r="502" spans="1:11" x14ac:dyDescent="0.25">
      <c r="A502" s="2">
        <v>45275</v>
      </c>
      <c r="B502" s="1" t="s">
        <v>16</v>
      </c>
      <c r="C502" s="1" t="s">
        <v>13</v>
      </c>
      <c r="D502" s="1" t="s">
        <v>31</v>
      </c>
      <c r="E502" s="1" t="s">
        <v>28</v>
      </c>
      <c r="F502" s="1">
        <v>1</v>
      </c>
      <c r="G502" s="1">
        <v>57.14</v>
      </c>
      <c r="H502" s="1">
        <v>36.31</v>
      </c>
      <c r="I502" s="1">
        <f>TablaVentas[[#This Row],[Precio Unitario]]*TablaVentas[[#This Row],[Cantidad]]</f>
        <v>57.14</v>
      </c>
      <c r="J502" s="1">
        <f>TablaVentas[[#This Row],[Costo Unitario]]*TablaVentas[[#This Row],[Cantidad]]</f>
        <v>36.31</v>
      </c>
      <c r="K502" s="1">
        <f>TablaVentas[[#This Row],[Total Venta]]-TablaVentas[[#This Row],[Total Costo]]</f>
        <v>20.83</v>
      </c>
    </row>
    <row r="503" spans="1:11" x14ac:dyDescent="0.25">
      <c r="A503" s="2">
        <v>45276</v>
      </c>
      <c r="B503" s="1" t="s">
        <v>8</v>
      </c>
      <c r="C503" s="1" t="s">
        <v>9</v>
      </c>
      <c r="D503" s="1" t="s">
        <v>27</v>
      </c>
      <c r="E503" s="1" t="s">
        <v>11</v>
      </c>
      <c r="F503" s="1">
        <v>1</v>
      </c>
      <c r="G503" s="1">
        <v>624.1</v>
      </c>
      <c r="H503" s="1">
        <v>441.78</v>
      </c>
      <c r="I503" s="1">
        <f>TablaVentas[[#This Row],[Precio Unitario]]*TablaVentas[[#This Row],[Cantidad]]</f>
        <v>624.1</v>
      </c>
      <c r="J503" s="1">
        <f>TablaVentas[[#This Row],[Costo Unitario]]*TablaVentas[[#This Row],[Cantidad]]</f>
        <v>441.78</v>
      </c>
      <c r="K503" s="1">
        <f>TablaVentas[[#This Row],[Total Venta]]-TablaVentas[[#This Row],[Total Costo]]</f>
        <v>182.32000000000005</v>
      </c>
    </row>
    <row r="504" spans="1:11" x14ac:dyDescent="0.25">
      <c r="A504" s="2">
        <v>45276</v>
      </c>
      <c r="B504" s="1" t="s">
        <v>23</v>
      </c>
      <c r="C504" s="1" t="s">
        <v>9</v>
      </c>
      <c r="D504" s="1" t="s">
        <v>24</v>
      </c>
      <c r="E504" s="1" t="s">
        <v>28</v>
      </c>
      <c r="F504" s="1">
        <v>2</v>
      </c>
      <c r="G504" s="1">
        <v>83.43</v>
      </c>
      <c r="H504" s="1">
        <v>47.59</v>
      </c>
      <c r="I504" s="1">
        <f>TablaVentas[[#This Row],[Precio Unitario]]*TablaVentas[[#This Row],[Cantidad]]</f>
        <v>166.86</v>
      </c>
      <c r="J504" s="1">
        <f>TablaVentas[[#This Row],[Costo Unitario]]*TablaVentas[[#This Row],[Cantidad]]</f>
        <v>95.18</v>
      </c>
      <c r="K504" s="1">
        <f>TablaVentas[[#This Row],[Total Venta]]-TablaVentas[[#This Row],[Total Costo]]</f>
        <v>71.680000000000007</v>
      </c>
    </row>
    <row r="505" spans="1:11" x14ac:dyDescent="0.25">
      <c r="A505" s="2">
        <v>45277</v>
      </c>
      <c r="B505" s="1" t="s">
        <v>16</v>
      </c>
      <c r="C505" s="1" t="s">
        <v>13</v>
      </c>
      <c r="D505" s="1" t="s">
        <v>14</v>
      </c>
      <c r="E505" s="1" t="s">
        <v>28</v>
      </c>
      <c r="F505" s="1">
        <v>8</v>
      </c>
      <c r="G505" s="1">
        <v>47.29</v>
      </c>
      <c r="H505" s="1">
        <v>32.76</v>
      </c>
      <c r="I505" s="1">
        <f>TablaVentas[[#This Row],[Precio Unitario]]*TablaVentas[[#This Row],[Cantidad]]</f>
        <v>378.32</v>
      </c>
      <c r="J505" s="1">
        <f>TablaVentas[[#This Row],[Costo Unitario]]*TablaVentas[[#This Row],[Cantidad]]</f>
        <v>262.08</v>
      </c>
      <c r="K505" s="1">
        <f>TablaVentas[[#This Row],[Total Venta]]-TablaVentas[[#This Row],[Total Costo]]</f>
        <v>116.24000000000001</v>
      </c>
    </row>
    <row r="506" spans="1:11" x14ac:dyDescent="0.25">
      <c r="A506" s="2">
        <v>45279</v>
      </c>
      <c r="B506" s="1" t="s">
        <v>26</v>
      </c>
      <c r="C506" s="1" t="s">
        <v>19</v>
      </c>
      <c r="D506" s="1" t="s">
        <v>10</v>
      </c>
      <c r="E506" s="1" t="s">
        <v>15</v>
      </c>
      <c r="F506" s="1">
        <v>1</v>
      </c>
      <c r="G506" s="1">
        <v>49.14</v>
      </c>
      <c r="H506" s="1">
        <v>26.58</v>
      </c>
      <c r="I506" s="1">
        <f>TablaVentas[[#This Row],[Precio Unitario]]*TablaVentas[[#This Row],[Cantidad]]</f>
        <v>49.14</v>
      </c>
      <c r="J506" s="1">
        <f>TablaVentas[[#This Row],[Costo Unitario]]*TablaVentas[[#This Row],[Cantidad]]</f>
        <v>26.58</v>
      </c>
      <c r="K506" s="1">
        <f>TablaVentas[[#This Row],[Total Venta]]-TablaVentas[[#This Row],[Total Costo]]</f>
        <v>22.560000000000002</v>
      </c>
    </row>
    <row r="507" spans="1:11" x14ac:dyDescent="0.25">
      <c r="A507" s="2">
        <v>45280</v>
      </c>
      <c r="B507" s="1" t="s">
        <v>16</v>
      </c>
      <c r="C507" s="1" t="s">
        <v>13</v>
      </c>
      <c r="D507" s="1" t="s">
        <v>14</v>
      </c>
      <c r="E507" s="1" t="s">
        <v>22</v>
      </c>
      <c r="F507" s="1">
        <v>5</v>
      </c>
      <c r="G507" s="1">
        <v>52.18</v>
      </c>
      <c r="H507" s="1">
        <v>37.57</v>
      </c>
      <c r="I507" s="1">
        <f>TablaVentas[[#This Row],[Precio Unitario]]*TablaVentas[[#This Row],[Cantidad]]</f>
        <v>260.89999999999998</v>
      </c>
      <c r="J507" s="1">
        <f>TablaVentas[[#This Row],[Costo Unitario]]*TablaVentas[[#This Row],[Cantidad]]</f>
        <v>187.85</v>
      </c>
      <c r="K507" s="1">
        <f>TablaVentas[[#This Row],[Total Venta]]-TablaVentas[[#This Row],[Total Costo]]</f>
        <v>73.049999999999983</v>
      </c>
    </row>
    <row r="508" spans="1:11" x14ac:dyDescent="0.25">
      <c r="A508" s="2">
        <v>45280</v>
      </c>
      <c r="B508" s="1" t="s">
        <v>32</v>
      </c>
      <c r="C508" s="1" t="s">
        <v>30</v>
      </c>
      <c r="D508" s="1" t="s">
        <v>31</v>
      </c>
      <c r="E508" s="1" t="s">
        <v>11</v>
      </c>
      <c r="F508" s="1">
        <v>6</v>
      </c>
      <c r="G508" s="1">
        <v>354.57</v>
      </c>
      <c r="H508" s="1">
        <v>193.79</v>
      </c>
      <c r="I508" s="1">
        <f>TablaVentas[[#This Row],[Precio Unitario]]*TablaVentas[[#This Row],[Cantidad]]</f>
        <v>2127.42</v>
      </c>
      <c r="J508" s="1">
        <f>TablaVentas[[#This Row],[Costo Unitario]]*TablaVentas[[#This Row],[Cantidad]]</f>
        <v>1162.74</v>
      </c>
      <c r="K508" s="1">
        <f>TablaVentas[[#This Row],[Total Venta]]-TablaVentas[[#This Row],[Total Costo]]</f>
        <v>964.68000000000006</v>
      </c>
    </row>
    <row r="509" spans="1:11" x14ac:dyDescent="0.25">
      <c r="A509" s="2">
        <v>45280</v>
      </c>
      <c r="B509" s="1" t="s">
        <v>34</v>
      </c>
      <c r="C509" s="1" t="s">
        <v>13</v>
      </c>
      <c r="D509" s="1" t="s">
        <v>25</v>
      </c>
      <c r="E509" s="1" t="s">
        <v>11</v>
      </c>
      <c r="F509" s="1">
        <v>3</v>
      </c>
      <c r="G509" s="1">
        <v>256.5</v>
      </c>
      <c r="H509" s="1">
        <v>181.31</v>
      </c>
      <c r="I509" s="1">
        <f>TablaVentas[[#This Row],[Precio Unitario]]*TablaVentas[[#This Row],[Cantidad]]</f>
        <v>769.5</v>
      </c>
      <c r="J509" s="1">
        <f>TablaVentas[[#This Row],[Costo Unitario]]*TablaVentas[[#This Row],[Cantidad]]</f>
        <v>543.93000000000006</v>
      </c>
      <c r="K509" s="1">
        <f>TablaVentas[[#This Row],[Total Venta]]-TablaVentas[[#This Row],[Total Costo]]</f>
        <v>225.56999999999994</v>
      </c>
    </row>
    <row r="510" spans="1:11" x14ac:dyDescent="0.25">
      <c r="A510" s="2">
        <v>45282</v>
      </c>
      <c r="B510" s="1" t="s">
        <v>12</v>
      </c>
      <c r="C510" s="1" t="s">
        <v>13</v>
      </c>
      <c r="D510" s="1" t="s">
        <v>10</v>
      </c>
      <c r="E510" s="1" t="s">
        <v>22</v>
      </c>
      <c r="F510" s="1">
        <v>4</v>
      </c>
      <c r="G510" s="1">
        <v>73.760000000000005</v>
      </c>
      <c r="H510" s="1">
        <v>39.61</v>
      </c>
      <c r="I510" s="1">
        <f>TablaVentas[[#This Row],[Precio Unitario]]*TablaVentas[[#This Row],[Cantidad]]</f>
        <v>295.04000000000002</v>
      </c>
      <c r="J510" s="1">
        <f>TablaVentas[[#This Row],[Costo Unitario]]*TablaVentas[[#This Row],[Cantidad]]</f>
        <v>158.44</v>
      </c>
      <c r="K510" s="1">
        <f>TablaVentas[[#This Row],[Total Venta]]-TablaVentas[[#This Row],[Total Costo]]</f>
        <v>136.60000000000002</v>
      </c>
    </row>
    <row r="511" spans="1:11" x14ac:dyDescent="0.25">
      <c r="A511" s="2">
        <v>45285</v>
      </c>
      <c r="B511" s="1" t="s">
        <v>23</v>
      </c>
      <c r="C511" s="1" t="s">
        <v>9</v>
      </c>
      <c r="D511" s="1" t="s">
        <v>25</v>
      </c>
      <c r="E511" s="1" t="s">
        <v>15</v>
      </c>
      <c r="F511" s="1">
        <v>2</v>
      </c>
      <c r="G511" s="1">
        <v>81.31</v>
      </c>
      <c r="H511" s="1">
        <v>43.35</v>
      </c>
      <c r="I511" s="1">
        <f>TablaVentas[[#This Row],[Precio Unitario]]*TablaVentas[[#This Row],[Cantidad]]</f>
        <v>162.62</v>
      </c>
      <c r="J511" s="1">
        <f>TablaVentas[[#This Row],[Costo Unitario]]*TablaVentas[[#This Row],[Cantidad]]</f>
        <v>86.7</v>
      </c>
      <c r="K511" s="1">
        <f>TablaVentas[[#This Row],[Total Venta]]-TablaVentas[[#This Row],[Total Costo]]</f>
        <v>75.92</v>
      </c>
    </row>
    <row r="512" spans="1:11" x14ac:dyDescent="0.25">
      <c r="A512" s="2">
        <v>45285</v>
      </c>
      <c r="B512" s="1" t="s">
        <v>8</v>
      </c>
      <c r="C512" s="1" t="s">
        <v>9</v>
      </c>
      <c r="D512" s="1" t="s">
        <v>33</v>
      </c>
      <c r="E512" s="1" t="s">
        <v>28</v>
      </c>
      <c r="F512" s="1">
        <v>5</v>
      </c>
      <c r="G512" s="1">
        <v>600.79999999999995</v>
      </c>
      <c r="H512" s="1">
        <v>489.15</v>
      </c>
      <c r="I512" s="1">
        <f>TablaVentas[[#This Row],[Precio Unitario]]*TablaVentas[[#This Row],[Cantidad]]</f>
        <v>3004</v>
      </c>
      <c r="J512" s="1">
        <f>TablaVentas[[#This Row],[Costo Unitario]]*TablaVentas[[#This Row],[Cantidad]]</f>
        <v>2445.75</v>
      </c>
      <c r="K512" s="1">
        <f>TablaVentas[[#This Row],[Total Venta]]-TablaVentas[[#This Row],[Total Costo]]</f>
        <v>558.25</v>
      </c>
    </row>
    <row r="513" spans="1:11" x14ac:dyDescent="0.25">
      <c r="A513" s="2">
        <v>45286</v>
      </c>
      <c r="B513" s="1" t="s">
        <v>12</v>
      </c>
      <c r="C513" s="1" t="s">
        <v>13</v>
      </c>
      <c r="D513" s="1" t="s">
        <v>25</v>
      </c>
      <c r="E513" s="1" t="s">
        <v>22</v>
      </c>
      <c r="F513" s="1">
        <v>3</v>
      </c>
      <c r="G513" s="1">
        <v>72.22</v>
      </c>
      <c r="H513" s="1">
        <v>38.69</v>
      </c>
      <c r="I513" s="1">
        <f>TablaVentas[[#This Row],[Precio Unitario]]*TablaVentas[[#This Row],[Cantidad]]</f>
        <v>216.66</v>
      </c>
      <c r="J513" s="1">
        <f>TablaVentas[[#This Row],[Costo Unitario]]*TablaVentas[[#This Row],[Cantidad]]</f>
        <v>116.07</v>
      </c>
      <c r="K513" s="1">
        <f>TablaVentas[[#This Row],[Total Venta]]-TablaVentas[[#This Row],[Total Costo]]</f>
        <v>100.59</v>
      </c>
    </row>
    <row r="514" spans="1:11" x14ac:dyDescent="0.25">
      <c r="A514" s="2">
        <v>45287</v>
      </c>
      <c r="B514" s="1" t="s">
        <v>32</v>
      </c>
      <c r="C514" s="1" t="s">
        <v>30</v>
      </c>
      <c r="D514" s="1" t="s">
        <v>31</v>
      </c>
      <c r="E514" s="1" t="s">
        <v>11</v>
      </c>
      <c r="F514" s="1">
        <v>9</v>
      </c>
      <c r="G514" s="1">
        <v>339.12</v>
      </c>
      <c r="H514" s="1">
        <v>199.97</v>
      </c>
      <c r="I514" s="1">
        <f>TablaVentas[[#This Row],[Precio Unitario]]*TablaVentas[[#This Row],[Cantidad]]</f>
        <v>3052.08</v>
      </c>
      <c r="J514" s="1">
        <f>TablaVentas[[#This Row],[Costo Unitario]]*TablaVentas[[#This Row],[Cantidad]]</f>
        <v>1799.73</v>
      </c>
      <c r="K514" s="1">
        <f>TablaVentas[[#This Row],[Total Venta]]-TablaVentas[[#This Row],[Total Costo]]</f>
        <v>1252.3499999999999</v>
      </c>
    </row>
    <row r="515" spans="1:11" x14ac:dyDescent="0.25">
      <c r="A515" s="2">
        <v>45287</v>
      </c>
      <c r="B515" s="1" t="s">
        <v>29</v>
      </c>
      <c r="C515" s="1" t="s">
        <v>30</v>
      </c>
      <c r="D515" s="1" t="s">
        <v>14</v>
      </c>
      <c r="E515" s="1" t="s">
        <v>22</v>
      </c>
      <c r="F515" s="1">
        <v>5</v>
      </c>
      <c r="G515" s="1">
        <v>442.74</v>
      </c>
      <c r="H515" s="1">
        <v>328.15</v>
      </c>
      <c r="I515" s="1">
        <f>TablaVentas[[#This Row],[Precio Unitario]]*TablaVentas[[#This Row],[Cantidad]]</f>
        <v>2213.6999999999998</v>
      </c>
      <c r="J515" s="1">
        <f>TablaVentas[[#This Row],[Costo Unitario]]*TablaVentas[[#This Row],[Cantidad]]</f>
        <v>1640.75</v>
      </c>
      <c r="K515" s="1">
        <f>TablaVentas[[#This Row],[Total Venta]]-TablaVentas[[#This Row],[Total Costo]]</f>
        <v>572.94999999999982</v>
      </c>
    </row>
    <row r="516" spans="1:11" x14ac:dyDescent="0.25">
      <c r="A516" s="2">
        <v>45288</v>
      </c>
      <c r="B516" s="1" t="s">
        <v>21</v>
      </c>
      <c r="C516" s="1" t="s">
        <v>19</v>
      </c>
      <c r="D516" s="1" t="s">
        <v>10</v>
      </c>
      <c r="E516" s="1" t="s">
        <v>22</v>
      </c>
      <c r="F516" s="1">
        <v>5</v>
      </c>
      <c r="G516" s="1">
        <v>92.8</v>
      </c>
      <c r="H516" s="1">
        <v>55.01</v>
      </c>
      <c r="I516" s="1">
        <f>TablaVentas[[#This Row],[Precio Unitario]]*TablaVentas[[#This Row],[Cantidad]]</f>
        <v>464</v>
      </c>
      <c r="J516" s="1">
        <f>TablaVentas[[#This Row],[Costo Unitario]]*TablaVentas[[#This Row],[Cantidad]]</f>
        <v>275.05</v>
      </c>
      <c r="K516" s="1">
        <f>TablaVentas[[#This Row],[Total Venta]]-TablaVentas[[#This Row],[Total Costo]]</f>
        <v>188.95</v>
      </c>
    </row>
    <row r="517" spans="1:11" x14ac:dyDescent="0.25">
      <c r="A517" s="2">
        <v>45289</v>
      </c>
      <c r="B517" s="1" t="s">
        <v>34</v>
      </c>
      <c r="C517" s="1" t="s">
        <v>13</v>
      </c>
      <c r="D517" s="1" t="s">
        <v>25</v>
      </c>
      <c r="E517" s="1" t="s">
        <v>15</v>
      </c>
      <c r="F517" s="1">
        <v>5</v>
      </c>
      <c r="G517" s="1">
        <v>255.04</v>
      </c>
      <c r="H517" s="1">
        <v>189.65</v>
      </c>
      <c r="I517" s="1">
        <f>TablaVentas[[#This Row],[Precio Unitario]]*TablaVentas[[#This Row],[Cantidad]]</f>
        <v>1275.2</v>
      </c>
      <c r="J517" s="1">
        <f>TablaVentas[[#This Row],[Costo Unitario]]*TablaVentas[[#This Row],[Cantidad]]</f>
        <v>948.25</v>
      </c>
      <c r="K517" s="1">
        <f>TablaVentas[[#This Row],[Total Venta]]-TablaVentas[[#This Row],[Total Costo]]</f>
        <v>326.95000000000005</v>
      </c>
    </row>
    <row r="518" spans="1:11" x14ac:dyDescent="0.25">
      <c r="A518" s="2">
        <v>45290</v>
      </c>
      <c r="B518" s="1" t="s">
        <v>32</v>
      </c>
      <c r="C518" s="1" t="s">
        <v>30</v>
      </c>
      <c r="D518" s="1" t="s">
        <v>14</v>
      </c>
      <c r="E518" s="1" t="s">
        <v>28</v>
      </c>
      <c r="F518" s="1">
        <v>5</v>
      </c>
      <c r="G518" s="1">
        <v>334.18</v>
      </c>
      <c r="H518" s="1">
        <v>208.07</v>
      </c>
      <c r="I518" s="1">
        <f>TablaVentas[[#This Row],[Precio Unitario]]*TablaVentas[[#This Row],[Cantidad]]</f>
        <v>1670.9</v>
      </c>
      <c r="J518" s="1">
        <f>TablaVentas[[#This Row],[Costo Unitario]]*TablaVentas[[#This Row],[Cantidad]]</f>
        <v>1040.3499999999999</v>
      </c>
      <c r="K518" s="1">
        <f>TablaVentas[[#This Row],[Total Venta]]-TablaVentas[[#This Row],[Total Costo]]</f>
        <v>630.55000000000018</v>
      </c>
    </row>
    <row r="519" spans="1:11" x14ac:dyDescent="0.25">
      <c r="A519" s="2">
        <v>45290</v>
      </c>
      <c r="B519" s="1" t="s">
        <v>21</v>
      </c>
      <c r="C519" s="1" t="s">
        <v>19</v>
      </c>
      <c r="D519" s="1" t="s">
        <v>27</v>
      </c>
      <c r="E519" s="1" t="s">
        <v>11</v>
      </c>
      <c r="F519" s="1">
        <v>7</v>
      </c>
      <c r="G519" s="1">
        <v>100.24</v>
      </c>
      <c r="H519" s="1">
        <v>51.95</v>
      </c>
      <c r="I519" s="1">
        <f>TablaVentas[[#This Row],[Precio Unitario]]*TablaVentas[[#This Row],[Cantidad]]</f>
        <v>701.68</v>
      </c>
      <c r="J519" s="1">
        <f>TablaVentas[[#This Row],[Costo Unitario]]*TablaVentas[[#This Row],[Cantidad]]</f>
        <v>363.65000000000003</v>
      </c>
      <c r="K519" s="1">
        <f>TablaVentas[[#This Row],[Total Venta]]-TablaVentas[[#This Row],[Total Costo]]</f>
        <v>338.02999999999992</v>
      </c>
    </row>
    <row r="520" spans="1:11" x14ac:dyDescent="0.25">
      <c r="A520" s="2">
        <v>45292</v>
      </c>
      <c r="B520" s="1" t="s">
        <v>12</v>
      </c>
      <c r="C520" s="1" t="s">
        <v>13</v>
      </c>
      <c r="D520" s="1" t="s">
        <v>10</v>
      </c>
      <c r="E520" s="1" t="s">
        <v>20</v>
      </c>
      <c r="F520" s="1">
        <v>9</v>
      </c>
      <c r="G520" s="1">
        <v>69.42</v>
      </c>
      <c r="H520" s="1">
        <v>45.32</v>
      </c>
      <c r="I520" s="1">
        <f>TablaVentas[[#This Row],[Precio Unitario]]*TablaVentas[[#This Row],[Cantidad]]</f>
        <v>624.78</v>
      </c>
      <c r="J520" s="1">
        <f>TablaVentas[[#This Row],[Costo Unitario]]*TablaVentas[[#This Row],[Cantidad]]</f>
        <v>407.88</v>
      </c>
      <c r="K520" s="1">
        <f>TablaVentas[[#This Row],[Total Venta]]-TablaVentas[[#This Row],[Total Costo]]</f>
        <v>216.89999999999998</v>
      </c>
    </row>
    <row r="521" spans="1:11" x14ac:dyDescent="0.25">
      <c r="A521" s="2">
        <v>45293</v>
      </c>
      <c r="B521" s="1" t="s">
        <v>16</v>
      </c>
      <c r="C521" s="1" t="s">
        <v>13</v>
      </c>
      <c r="D521" s="1" t="s">
        <v>25</v>
      </c>
      <c r="E521" s="1" t="s">
        <v>11</v>
      </c>
      <c r="F521" s="1">
        <v>8</v>
      </c>
      <c r="G521" s="1">
        <v>52.6</v>
      </c>
      <c r="H521" s="1">
        <v>36.17</v>
      </c>
      <c r="I521" s="1">
        <f>TablaVentas[[#This Row],[Precio Unitario]]*TablaVentas[[#This Row],[Cantidad]]</f>
        <v>420.8</v>
      </c>
      <c r="J521" s="1">
        <f>TablaVentas[[#This Row],[Costo Unitario]]*TablaVentas[[#This Row],[Cantidad]]</f>
        <v>289.36</v>
      </c>
      <c r="K521" s="1">
        <f>TablaVentas[[#This Row],[Total Venta]]-TablaVentas[[#This Row],[Total Costo]]</f>
        <v>131.44</v>
      </c>
    </row>
    <row r="522" spans="1:11" x14ac:dyDescent="0.25">
      <c r="A522" s="2">
        <v>45294</v>
      </c>
      <c r="B522" s="1" t="s">
        <v>12</v>
      </c>
      <c r="C522" s="1" t="s">
        <v>13</v>
      </c>
      <c r="D522" s="1" t="s">
        <v>24</v>
      </c>
      <c r="E522" s="1" t="s">
        <v>28</v>
      </c>
      <c r="F522" s="1">
        <v>8</v>
      </c>
      <c r="G522" s="1">
        <v>65.7</v>
      </c>
      <c r="H522" s="1">
        <v>41.3</v>
      </c>
      <c r="I522" s="1">
        <f>TablaVentas[[#This Row],[Precio Unitario]]*TablaVentas[[#This Row],[Cantidad]]</f>
        <v>525.6</v>
      </c>
      <c r="J522" s="1">
        <f>TablaVentas[[#This Row],[Costo Unitario]]*TablaVentas[[#This Row],[Cantidad]]</f>
        <v>330.4</v>
      </c>
      <c r="K522" s="1">
        <f>TablaVentas[[#This Row],[Total Venta]]-TablaVentas[[#This Row],[Total Costo]]</f>
        <v>195.20000000000005</v>
      </c>
    </row>
    <row r="523" spans="1:11" x14ac:dyDescent="0.25">
      <c r="A523" s="2">
        <v>45294</v>
      </c>
      <c r="B523" s="1" t="s">
        <v>32</v>
      </c>
      <c r="C523" s="1" t="s">
        <v>30</v>
      </c>
      <c r="D523" s="1" t="s">
        <v>17</v>
      </c>
      <c r="E523" s="1" t="s">
        <v>28</v>
      </c>
      <c r="F523" s="1">
        <v>6</v>
      </c>
      <c r="G523" s="1">
        <v>313</v>
      </c>
      <c r="H523" s="1">
        <v>212.71</v>
      </c>
      <c r="I523" s="1">
        <f>TablaVentas[[#This Row],[Precio Unitario]]*TablaVentas[[#This Row],[Cantidad]]</f>
        <v>1878</v>
      </c>
      <c r="J523" s="1">
        <f>TablaVentas[[#This Row],[Costo Unitario]]*TablaVentas[[#This Row],[Cantidad]]</f>
        <v>1276.26</v>
      </c>
      <c r="K523" s="1">
        <f>TablaVentas[[#This Row],[Total Venta]]-TablaVentas[[#This Row],[Total Costo]]</f>
        <v>601.74</v>
      </c>
    </row>
    <row r="524" spans="1:11" x14ac:dyDescent="0.25">
      <c r="A524" s="2">
        <v>45294</v>
      </c>
      <c r="B524" s="1" t="s">
        <v>29</v>
      </c>
      <c r="C524" s="1" t="s">
        <v>30</v>
      </c>
      <c r="D524" s="1" t="s">
        <v>25</v>
      </c>
      <c r="E524" s="1" t="s">
        <v>20</v>
      </c>
      <c r="F524" s="1">
        <v>2</v>
      </c>
      <c r="G524" s="1">
        <v>451.14</v>
      </c>
      <c r="H524" s="1">
        <v>304.17</v>
      </c>
      <c r="I524" s="1">
        <f>TablaVentas[[#This Row],[Precio Unitario]]*TablaVentas[[#This Row],[Cantidad]]</f>
        <v>902.28</v>
      </c>
      <c r="J524" s="1">
        <f>TablaVentas[[#This Row],[Costo Unitario]]*TablaVentas[[#This Row],[Cantidad]]</f>
        <v>608.34</v>
      </c>
      <c r="K524" s="1">
        <f>TablaVentas[[#This Row],[Total Venta]]-TablaVentas[[#This Row],[Total Costo]]</f>
        <v>293.93999999999994</v>
      </c>
    </row>
    <row r="525" spans="1:11" x14ac:dyDescent="0.25">
      <c r="A525" s="2">
        <v>45295</v>
      </c>
      <c r="B525" s="1" t="s">
        <v>32</v>
      </c>
      <c r="C525" s="1" t="s">
        <v>30</v>
      </c>
      <c r="D525" s="1" t="s">
        <v>14</v>
      </c>
      <c r="E525" s="1" t="s">
        <v>15</v>
      </c>
      <c r="F525" s="1">
        <v>3</v>
      </c>
      <c r="G525" s="1">
        <v>345.94</v>
      </c>
      <c r="H525" s="1">
        <v>191.67</v>
      </c>
      <c r="I525" s="1">
        <f>TablaVentas[[#This Row],[Precio Unitario]]*TablaVentas[[#This Row],[Cantidad]]</f>
        <v>1037.82</v>
      </c>
      <c r="J525" s="1">
        <f>TablaVentas[[#This Row],[Costo Unitario]]*TablaVentas[[#This Row],[Cantidad]]</f>
        <v>575.01</v>
      </c>
      <c r="K525" s="1">
        <f>TablaVentas[[#This Row],[Total Venta]]-TablaVentas[[#This Row],[Total Costo]]</f>
        <v>462.80999999999995</v>
      </c>
    </row>
    <row r="526" spans="1:11" x14ac:dyDescent="0.25">
      <c r="A526" s="2">
        <v>45296</v>
      </c>
      <c r="B526" s="1" t="s">
        <v>21</v>
      </c>
      <c r="C526" s="1" t="s">
        <v>19</v>
      </c>
      <c r="D526" s="1" t="s">
        <v>31</v>
      </c>
      <c r="E526" s="1" t="s">
        <v>11</v>
      </c>
      <c r="F526" s="1">
        <v>6</v>
      </c>
      <c r="G526" s="1">
        <v>101.07</v>
      </c>
      <c r="H526" s="1">
        <v>53.52</v>
      </c>
      <c r="I526" s="1">
        <f>TablaVentas[[#This Row],[Precio Unitario]]*TablaVentas[[#This Row],[Cantidad]]</f>
        <v>606.41999999999996</v>
      </c>
      <c r="J526" s="1">
        <f>TablaVentas[[#This Row],[Costo Unitario]]*TablaVentas[[#This Row],[Cantidad]]</f>
        <v>321.12</v>
      </c>
      <c r="K526" s="1">
        <f>TablaVentas[[#This Row],[Total Venta]]-TablaVentas[[#This Row],[Total Costo]]</f>
        <v>285.29999999999995</v>
      </c>
    </row>
    <row r="527" spans="1:11" x14ac:dyDescent="0.25">
      <c r="A527" s="2">
        <v>45296</v>
      </c>
      <c r="B527" s="1" t="s">
        <v>18</v>
      </c>
      <c r="C527" s="1" t="s">
        <v>19</v>
      </c>
      <c r="D527" s="1" t="s">
        <v>33</v>
      </c>
      <c r="E527" s="1" t="s">
        <v>22</v>
      </c>
      <c r="F527" s="1">
        <v>7</v>
      </c>
      <c r="G527" s="1">
        <v>1320.38</v>
      </c>
      <c r="H527" s="1">
        <v>859.24</v>
      </c>
      <c r="I527" s="1">
        <f>TablaVentas[[#This Row],[Precio Unitario]]*TablaVentas[[#This Row],[Cantidad]]</f>
        <v>9242.66</v>
      </c>
      <c r="J527" s="1">
        <f>TablaVentas[[#This Row],[Costo Unitario]]*TablaVentas[[#This Row],[Cantidad]]</f>
        <v>6014.68</v>
      </c>
      <c r="K527" s="1">
        <f>TablaVentas[[#This Row],[Total Venta]]-TablaVentas[[#This Row],[Total Costo]]</f>
        <v>3227.9799999999996</v>
      </c>
    </row>
    <row r="528" spans="1:11" x14ac:dyDescent="0.25">
      <c r="A528" s="2">
        <v>45297</v>
      </c>
      <c r="B528" s="1" t="s">
        <v>16</v>
      </c>
      <c r="C528" s="1" t="s">
        <v>13</v>
      </c>
      <c r="D528" s="1" t="s">
        <v>24</v>
      </c>
      <c r="E528" s="1" t="s">
        <v>22</v>
      </c>
      <c r="F528" s="1">
        <v>10</v>
      </c>
      <c r="G528" s="1">
        <v>49.61</v>
      </c>
      <c r="H528" s="1">
        <v>37.82</v>
      </c>
      <c r="I528" s="1">
        <f>TablaVentas[[#This Row],[Precio Unitario]]*TablaVentas[[#This Row],[Cantidad]]</f>
        <v>496.1</v>
      </c>
      <c r="J528" s="1">
        <f>TablaVentas[[#This Row],[Costo Unitario]]*TablaVentas[[#This Row],[Cantidad]]</f>
        <v>378.2</v>
      </c>
      <c r="K528" s="1">
        <f>TablaVentas[[#This Row],[Total Venta]]-TablaVentas[[#This Row],[Total Costo]]</f>
        <v>117.90000000000003</v>
      </c>
    </row>
    <row r="529" spans="1:11" x14ac:dyDescent="0.25">
      <c r="A529" s="2">
        <v>45298</v>
      </c>
      <c r="B529" s="1" t="s">
        <v>8</v>
      </c>
      <c r="C529" s="1" t="s">
        <v>9</v>
      </c>
      <c r="D529" s="1" t="s">
        <v>25</v>
      </c>
      <c r="E529" s="1" t="s">
        <v>20</v>
      </c>
      <c r="F529" s="1">
        <v>9</v>
      </c>
      <c r="G529" s="1">
        <v>762.35</v>
      </c>
      <c r="H529" s="1">
        <v>491.55</v>
      </c>
      <c r="I529" s="1">
        <f>TablaVentas[[#This Row],[Precio Unitario]]*TablaVentas[[#This Row],[Cantidad]]</f>
        <v>6861.1500000000005</v>
      </c>
      <c r="J529" s="1">
        <f>TablaVentas[[#This Row],[Costo Unitario]]*TablaVentas[[#This Row],[Cantidad]]</f>
        <v>4423.95</v>
      </c>
      <c r="K529" s="1">
        <f>TablaVentas[[#This Row],[Total Venta]]-TablaVentas[[#This Row],[Total Costo]]</f>
        <v>2437.2000000000007</v>
      </c>
    </row>
    <row r="530" spans="1:11" x14ac:dyDescent="0.25">
      <c r="A530" s="2">
        <v>45298</v>
      </c>
      <c r="B530" s="1" t="s">
        <v>32</v>
      </c>
      <c r="C530" s="1" t="s">
        <v>30</v>
      </c>
      <c r="D530" s="1" t="s">
        <v>14</v>
      </c>
      <c r="E530" s="1" t="s">
        <v>15</v>
      </c>
      <c r="F530" s="1">
        <v>6</v>
      </c>
      <c r="G530" s="1">
        <v>300.57</v>
      </c>
      <c r="H530" s="1">
        <v>209.31</v>
      </c>
      <c r="I530" s="1">
        <f>TablaVentas[[#This Row],[Precio Unitario]]*TablaVentas[[#This Row],[Cantidad]]</f>
        <v>1803.42</v>
      </c>
      <c r="J530" s="1">
        <f>TablaVentas[[#This Row],[Costo Unitario]]*TablaVentas[[#This Row],[Cantidad]]</f>
        <v>1255.8600000000001</v>
      </c>
      <c r="K530" s="1">
        <f>TablaVentas[[#This Row],[Total Venta]]-TablaVentas[[#This Row],[Total Costo]]</f>
        <v>547.55999999999995</v>
      </c>
    </row>
    <row r="531" spans="1:11" x14ac:dyDescent="0.25">
      <c r="A531" s="2">
        <v>45298</v>
      </c>
      <c r="B531" s="1" t="s">
        <v>29</v>
      </c>
      <c r="C531" s="1" t="s">
        <v>30</v>
      </c>
      <c r="D531" s="1" t="s">
        <v>17</v>
      </c>
      <c r="E531" s="1" t="s">
        <v>20</v>
      </c>
      <c r="F531" s="1">
        <v>4</v>
      </c>
      <c r="G531" s="1">
        <v>510.94</v>
      </c>
      <c r="H531" s="1">
        <v>313.08</v>
      </c>
      <c r="I531" s="1">
        <f>TablaVentas[[#This Row],[Precio Unitario]]*TablaVentas[[#This Row],[Cantidad]]</f>
        <v>2043.76</v>
      </c>
      <c r="J531" s="1">
        <f>TablaVentas[[#This Row],[Costo Unitario]]*TablaVentas[[#This Row],[Cantidad]]</f>
        <v>1252.32</v>
      </c>
      <c r="K531" s="1">
        <f>TablaVentas[[#This Row],[Total Venta]]-TablaVentas[[#This Row],[Total Costo]]</f>
        <v>791.44</v>
      </c>
    </row>
    <row r="532" spans="1:11" x14ac:dyDescent="0.25">
      <c r="A532" s="2">
        <v>45299</v>
      </c>
      <c r="B532" s="1" t="s">
        <v>34</v>
      </c>
      <c r="C532" s="1" t="s">
        <v>13</v>
      </c>
      <c r="D532" s="1" t="s">
        <v>25</v>
      </c>
      <c r="E532" s="1" t="s">
        <v>11</v>
      </c>
      <c r="F532" s="1">
        <v>1</v>
      </c>
      <c r="G532" s="1">
        <v>272.33999999999997</v>
      </c>
      <c r="H532" s="1">
        <v>192.77</v>
      </c>
      <c r="I532" s="1">
        <f>TablaVentas[[#This Row],[Precio Unitario]]*TablaVentas[[#This Row],[Cantidad]]</f>
        <v>272.33999999999997</v>
      </c>
      <c r="J532" s="1">
        <f>TablaVentas[[#This Row],[Costo Unitario]]*TablaVentas[[#This Row],[Cantidad]]</f>
        <v>192.77</v>
      </c>
      <c r="K532" s="1">
        <f>TablaVentas[[#This Row],[Total Venta]]-TablaVentas[[#This Row],[Total Costo]]</f>
        <v>79.569999999999965</v>
      </c>
    </row>
    <row r="533" spans="1:11" x14ac:dyDescent="0.25">
      <c r="A533" s="2">
        <v>45299</v>
      </c>
      <c r="B533" s="1" t="s">
        <v>34</v>
      </c>
      <c r="C533" s="1" t="s">
        <v>13</v>
      </c>
      <c r="D533" s="1" t="s">
        <v>10</v>
      </c>
      <c r="E533" s="1" t="s">
        <v>11</v>
      </c>
      <c r="F533" s="1">
        <v>10</v>
      </c>
      <c r="G533" s="1">
        <v>269.17</v>
      </c>
      <c r="H533" s="1">
        <v>182.54</v>
      </c>
      <c r="I533" s="1">
        <f>TablaVentas[[#This Row],[Precio Unitario]]*TablaVentas[[#This Row],[Cantidad]]</f>
        <v>2691.7000000000003</v>
      </c>
      <c r="J533" s="1">
        <f>TablaVentas[[#This Row],[Costo Unitario]]*TablaVentas[[#This Row],[Cantidad]]</f>
        <v>1825.3999999999999</v>
      </c>
      <c r="K533" s="1">
        <f>TablaVentas[[#This Row],[Total Venta]]-TablaVentas[[#This Row],[Total Costo]]</f>
        <v>866.30000000000041</v>
      </c>
    </row>
    <row r="534" spans="1:11" x14ac:dyDescent="0.25">
      <c r="A534" s="2">
        <v>45299</v>
      </c>
      <c r="B534" s="1" t="s">
        <v>18</v>
      </c>
      <c r="C534" s="1" t="s">
        <v>19</v>
      </c>
      <c r="D534" s="1" t="s">
        <v>31</v>
      </c>
      <c r="E534" s="1" t="s">
        <v>28</v>
      </c>
      <c r="F534" s="1">
        <v>1</v>
      </c>
      <c r="G534" s="1">
        <v>1336.03</v>
      </c>
      <c r="H534" s="1">
        <v>896.41</v>
      </c>
      <c r="I534" s="1">
        <f>TablaVentas[[#This Row],[Precio Unitario]]*TablaVentas[[#This Row],[Cantidad]]</f>
        <v>1336.03</v>
      </c>
      <c r="J534" s="1">
        <f>TablaVentas[[#This Row],[Costo Unitario]]*TablaVentas[[#This Row],[Cantidad]]</f>
        <v>896.41</v>
      </c>
      <c r="K534" s="1">
        <f>TablaVentas[[#This Row],[Total Venta]]-TablaVentas[[#This Row],[Total Costo]]</f>
        <v>439.62</v>
      </c>
    </row>
    <row r="535" spans="1:11" x14ac:dyDescent="0.25">
      <c r="A535" s="2">
        <v>45300</v>
      </c>
      <c r="B535" s="1" t="s">
        <v>21</v>
      </c>
      <c r="C535" s="1" t="s">
        <v>19</v>
      </c>
      <c r="D535" s="1" t="s">
        <v>24</v>
      </c>
      <c r="E535" s="1" t="s">
        <v>20</v>
      </c>
      <c r="F535" s="1">
        <v>10</v>
      </c>
      <c r="G535" s="1">
        <v>76.42</v>
      </c>
      <c r="H535" s="1">
        <v>56.91</v>
      </c>
      <c r="I535" s="1">
        <f>TablaVentas[[#This Row],[Precio Unitario]]*TablaVentas[[#This Row],[Cantidad]]</f>
        <v>764.2</v>
      </c>
      <c r="J535" s="1">
        <f>TablaVentas[[#This Row],[Costo Unitario]]*TablaVentas[[#This Row],[Cantidad]]</f>
        <v>569.09999999999991</v>
      </c>
      <c r="K535" s="1">
        <f>TablaVentas[[#This Row],[Total Venta]]-TablaVentas[[#This Row],[Total Costo]]</f>
        <v>195.10000000000014</v>
      </c>
    </row>
    <row r="536" spans="1:11" x14ac:dyDescent="0.25">
      <c r="A536" s="2">
        <v>45301</v>
      </c>
      <c r="B536" s="1" t="s">
        <v>32</v>
      </c>
      <c r="C536" s="1" t="s">
        <v>30</v>
      </c>
      <c r="D536" s="1" t="s">
        <v>33</v>
      </c>
      <c r="E536" s="1" t="s">
        <v>11</v>
      </c>
      <c r="F536" s="1">
        <v>5</v>
      </c>
      <c r="G536" s="1">
        <v>352.37</v>
      </c>
      <c r="H536" s="1">
        <v>204.31</v>
      </c>
      <c r="I536" s="1">
        <f>TablaVentas[[#This Row],[Precio Unitario]]*TablaVentas[[#This Row],[Cantidad]]</f>
        <v>1761.85</v>
      </c>
      <c r="J536" s="1">
        <f>TablaVentas[[#This Row],[Costo Unitario]]*TablaVentas[[#This Row],[Cantidad]]</f>
        <v>1021.55</v>
      </c>
      <c r="K536" s="1">
        <f>TablaVentas[[#This Row],[Total Venta]]-TablaVentas[[#This Row],[Total Costo]]</f>
        <v>740.3</v>
      </c>
    </row>
    <row r="537" spans="1:11" x14ac:dyDescent="0.25">
      <c r="A537" s="2">
        <v>45301</v>
      </c>
      <c r="B537" s="1" t="s">
        <v>32</v>
      </c>
      <c r="C537" s="1" t="s">
        <v>30</v>
      </c>
      <c r="D537" s="1" t="s">
        <v>14</v>
      </c>
      <c r="E537" s="1" t="s">
        <v>20</v>
      </c>
      <c r="F537" s="1">
        <v>8</v>
      </c>
      <c r="G537" s="1">
        <v>365.53</v>
      </c>
      <c r="H537" s="1">
        <v>205.9</v>
      </c>
      <c r="I537" s="1">
        <f>TablaVentas[[#This Row],[Precio Unitario]]*TablaVentas[[#This Row],[Cantidad]]</f>
        <v>2924.24</v>
      </c>
      <c r="J537" s="1">
        <f>TablaVentas[[#This Row],[Costo Unitario]]*TablaVentas[[#This Row],[Cantidad]]</f>
        <v>1647.2</v>
      </c>
      <c r="K537" s="1">
        <f>TablaVentas[[#This Row],[Total Venta]]-TablaVentas[[#This Row],[Total Costo]]</f>
        <v>1277.0399999999997</v>
      </c>
    </row>
    <row r="538" spans="1:11" x14ac:dyDescent="0.25">
      <c r="A538" s="2">
        <v>45301</v>
      </c>
      <c r="B538" s="1" t="s">
        <v>21</v>
      </c>
      <c r="C538" s="1" t="s">
        <v>19</v>
      </c>
      <c r="D538" s="1" t="s">
        <v>17</v>
      </c>
      <c r="E538" s="1" t="s">
        <v>22</v>
      </c>
      <c r="F538" s="1">
        <v>5</v>
      </c>
      <c r="G538" s="1">
        <v>95.61</v>
      </c>
      <c r="H538" s="1">
        <v>49.58</v>
      </c>
      <c r="I538" s="1">
        <f>TablaVentas[[#This Row],[Precio Unitario]]*TablaVentas[[#This Row],[Cantidad]]</f>
        <v>478.05</v>
      </c>
      <c r="J538" s="1">
        <f>TablaVentas[[#This Row],[Costo Unitario]]*TablaVentas[[#This Row],[Cantidad]]</f>
        <v>247.89999999999998</v>
      </c>
      <c r="K538" s="1">
        <f>TablaVentas[[#This Row],[Total Venta]]-TablaVentas[[#This Row],[Total Costo]]</f>
        <v>230.15000000000003</v>
      </c>
    </row>
    <row r="539" spans="1:11" x14ac:dyDescent="0.25">
      <c r="A539" s="2">
        <v>45302</v>
      </c>
      <c r="B539" s="1" t="s">
        <v>29</v>
      </c>
      <c r="C539" s="1" t="s">
        <v>30</v>
      </c>
      <c r="D539" s="1" t="s">
        <v>25</v>
      </c>
      <c r="E539" s="1" t="s">
        <v>28</v>
      </c>
      <c r="F539" s="1">
        <v>4</v>
      </c>
      <c r="G539" s="1">
        <v>402.64</v>
      </c>
      <c r="H539" s="1">
        <v>322.27</v>
      </c>
      <c r="I539" s="1">
        <f>TablaVentas[[#This Row],[Precio Unitario]]*TablaVentas[[#This Row],[Cantidad]]</f>
        <v>1610.56</v>
      </c>
      <c r="J539" s="1">
        <f>TablaVentas[[#This Row],[Costo Unitario]]*TablaVentas[[#This Row],[Cantidad]]</f>
        <v>1289.08</v>
      </c>
      <c r="K539" s="1">
        <f>TablaVentas[[#This Row],[Total Venta]]-TablaVentas[[#This Row],[Total Costo]]</f>
        <v>321.48</v>
      </c>
    </row>
    <row r="540" spans="1:11" x14ac:dyDescent="0.25">
      <c r="A540" s="2">
        <v>45303</v>
      </c>
      <c r="B540" s="1" t="s">
        <v>26</v>
      </c>
      <c r="C540" s="1" t="s">
        <v>19</v>
      </c>
      <c r="D540" s="1" t="s">
        <v>10</v>
      </c>
      <c r="E540" s="1" t="s">
        <v>20</v>
      </c>
      <c r="F540" s="1">
        <v>3</v>
      </c>
      <c r="G540" s="1">
        <v>40.92</v>
      </c>
      <c r="H540" s="1">
        <v>24.29</v>
      </c>
      <c r="I540" s="1">
        <f>TablaVentas[[#This Row],[Precio Unitario]]*TablaVentas[[#This Row],[Cantidad]]</f>
        <v>122.76</v>
      </c>
      <c r="J540" s="1">
        <f>TablaVentas[[#This Row],[Costo Unitario]]*TablaVentas[[#This Row],[Cantidad]]</f>
        <v>72.87</v>
      </c>
      <c r="K540" s="1">
        <f>TablaVentas[[#This Row],[Total Venta]]-TablaVentas[[#This Row],[Total Costo]]</f>
        <v>49.89</v>
      </c>
    </row>
    <row r="541" spans="1:11" x14ac:dyDescent="0.25">
      <c r="A541" s="2">
        <v>45305</v>
      </c>
      <c r="B541" s="1" t="s">
        <v>23</v>
      </c>
      <c r="C541" s="1" t="s">
        <v>9</v>
      </c>
      <c r="D541" s="1" t="s">
        <v>10</v>
      </c>
      <c r="E541" s="1" t="s">
        <v>11</v>
      </c>
      <c r="F541" s="1">
        <v>8</v>
      </c>
      <c r="G541" s="1">
        <v>77.97</v>
      </c>
      <c r="H541" s="1">
        <v>46.05</v>
      </c>
      <c r="I541" s="1">
        <f>TablaVentas[[#This Row],[Precio Unitario]]*TablaVentas[[#This Row],[Cantidad]]</f>
        <v>623.76</v>
      </c>
      <c r="J541" s="1">
        <f>TablaVentas[[#This Row],[Costo Unitario]]*TablaVentas[[#This Row],[Cantidad]]</f>
        <v>368.4</v>
      </c>
      <c r="K541" s="1">
        <f>TablaVentas[[#This Row],[Total Venta]]-TablaVentas[[#This Row],[Total Costo]]</f>
        <v>255.36</v>
      </c>
    </row>
    <row r="542" spans="1:11" x14ac:dyDescent="0.25">
      <c r="A542" s="2">
        <v>45305</v>
      </c>
      <c r="B542" s="1" t="s">
        <v>21</v>
      </c>
      <c r="C542" s="1" t="s">
        <v>19</v>
      </c>
      <c r="D542" s="1" t="s">
        <v>33</v>
      </c>
      <c r="E542" s="1" t="s">
        <v>11</v>
      </c>
      <c r="F542" s="1">
        <v>10</v>
      </c>
      <c r="G542" s="1">
        <v>80.209999999999994</v>
      </c>
      <c r="H542" s="1">
        <v>53.91</v>
      </c>
      <c r="I542" s="1">
        <f>TablaVentas[[#This Row],[Precio Unitario]]*TablaVentas[[#This Row],[Cantidad]]</f>
        <v>802.09999999999991</v>
      </c>
      <c r="J542" s="1">
        <f>TablaVentas[[#This Row],[Costo Unitario]]*TablaVentas[[#This Row],[Cantidad]]</f>
        <v>539.09999999999991</v>
      </c>
      <c r="K542" s="1">
        <f>TablaVentas[[#This Row],[Total Venta]]-TablaVentas[[#This Row],[Total Costo]]</f>
        <v>263</v>
      </c>
    </row>
    <row r="543" spans="1:11" x14ac:dyDescent="0.25">
      <c r="A543" s="2">
        <v>45305</v>
      </c>
      <c r="B543" s="1" t="s">
        <v>29</v>
      </c>
      <c r="C543" s="1" t="s">
        <v>30</v>
      </c>
      <c r="D543" s="1" t="s">
        <v>17</v>
      </c>
      <c r="E543" s="1" t="s">
        <v>15</v>
      </c>
      <c r="F543" s="1">
        <v>8</v>
      </c>
      <c r="G543" s="1">
        <v>391.34</v>
      </c>
      <c r="H543" s="1">
        <v>313.11</v>
      </c>
      <c r="I543" s="1">
        <f>TablaVentas[[#This Row],[Precio Unitario]]*TablaVentas[[#This Row],[Cantidad]]</f>
        <v>3130.72</v>
      </c>
      <c r="J543" s="1">
        <f>TablaVentas[[#This Row],[Costo Unitario]]*TablaVentas[[#This Row],[Cantidad]]</f>
        <v>2504.88</v>
      </c>
      <c r="K543" s="1">
        <f>TablaVentas[[#This Row],[Total Venta]]-TablaVentas[[#This Row],[Total Costo]]</f>
        <v>625.83999999999969</v>
      </c>
    </row>
    <row r="544" spans="1:11" x14ac:dyDescent="0.25">
      <c r="A544" s="2">
        <v>45305</v>
      </c>
      <c r="B544" s="1" t="s">
        <v>29</v>
      </c>
      <c r="C544" s="1" t="s">
        <v>30</v>
      </c>
      <c r="D544" s="1" t="s">
        <v>33</v>
      </c>
      <c r="E544" s="1" t="s">
        <v>15</v>
      </c>
      <c r="F544" s="1">
        <v>9</v>
      </c>
      <c r="G544" s="1">
        <v>405.24</v>
      </c>
      <c r="H544" s="1">
        <v>305.95</v>
      </c>
      <c r="I544" s="1">
        <f>TablaVentas[[#This Row],[Precio Unitario]]*TablaVentas[[#This Row],[Cantidad]]</f>
        <v>3647.16</v>
      </c>
      <c r="J544" s="1">
        <f>TablaVentas[[#This Row],[Costo Unitario]]*TablaVentas[[#This Row],[Cantidad]]</f>
        <v>2753.5499999999997</v>
      </c>
      <c r="K544" s="1">
        <f>TablaVentas[[#This Row],[Total Venta]]-TablaVentas[[#This Row],[Total Costo]]</f>
        <v>893.61000000000013</v>
      </c>
    </row>
    <row r="545" spans="1:11" x14ac:dyDescent="0.25">
      <c r="A545" s="2">
        <v>45305</v>
      </c>
      <c r="B545" s="1" t="s">
        <v>12</v>
      </c>
      <c r="C545" s="1" t="s">
        <v>13</v>
      </c>
      <c r="D545" s="1" t="s">
        <v>27</v>
      </c>
      <c r="E545" s="1" t="s">
        <v>28</v>
      </c>
      <c r="F545" s="1">
        <v>9</v>
      </c>
      <c r="G545" s="1">
        <v>60.87</v>
      </c>
      <c r="H545" s="1">
        <v>41.4</v>
      </c>
      <c r="I545" s="1">
        <f>TablaVentas[[#This Row],[Precio Unitario]]*TablaVentas[[#This Row],[Cantidad]]</f>
        <v>547.82999999999993</v>
      </c>
      <c r="J545" s="1">
        <f>TablaVentas[[#This Row],[Costo Unitario]]*TablaVentas[[#This Row],[Cantidad]]</f>
        <v>372.59999999999997</v>
      </c>
      <c r="K545" s="1">
        <f>TablaVentas[[#This Row],[Total Venta]]-TablaVentas[[#This Row],[Total Costo]]</f>
        <v>175.22999999999996</v>
      </c>
    </row>
    <row r="546" spans="1:11" x14ac:dyDescent="0.25">
      <c r="A546" s="2">
        <v>45306</v>
      </c>
      <c r="B546" s="1" t="s">
        <v>18</v>
      </c>
      <c r="C546" s="1" t="s">
        <v>19</v>
      </c>
      <c r="D546" s="1" t="s">
        <v>31</v>
      </c>
      <c r="E546" s="1" t="s">
        <v>11</v>
      </c>
      <c r="F546" s="1">
        <v>6</v>
      </c>
      <c r="G546" s="1">
        <v>1338.13</v>
      </c>
      <c r="H546" s="1">
        <v>808.57</v>
      </c>
      <c r="I546" s="1">
        <f>TablaVentas[[#This Row],[Precio Unitario]]*TablaVentas[[#This Row],[Cantidad]]</f>
        <v>8028.7800000000007</v>
      </c>
      <c r="J546" s="1">
        <f>TablaVentas[[#This Row],[Costo Unitario]]*TablaVentas[[#This Row],[Cantidad]]</f>
        <v>4851.42</v>
      </c>
      <c r="K546" s="1">
        <f>TablaVentas[[#This Row],[Total Venta]]-TablaVentas[[#This Row],[Total Costo]]</f>
        <v>3177.3600000000006</v>
      </c>
    </row>
    <row r="547" spans="1:11" x14ac:dyDescent="0.25">
      <c r="A547" s="2">
        <v>45308</v>
      </c>
      <c r="B547" s="1" t="s">
        <v>23</v>
      </c>
      <c r="C547" s="1" t="s">
        <v>9</v>
      </c>
      <c r="D547" s="1" t="s">
        <v>25</v>
      </c>
      <c r="E547" s="1" t="s">
        <v>15</v>
      </c>
      <c r="F547" s="1">
        <v>7</v>
      </c>
      <c r="G547" s="1">
        <v>77.53</v>
      </c>
      <c r="H547" s="1">
        <v>48.19</v>
      </c>
      <c r="I547" s="1">
        <f>TablaVentas[[#This Row],[Precio Unitario]]*TablaVentas[[#This Row],[Cantidad]]</f>
        <v>542.71</v>
      </c>
      <c r="J547" s="1">
        <f>TablaVentas[[#This Row],[Costo Unitario]]*TablaVentas[[#This Row],[Cantidad]]</f>
        <v>337.33</v>
      </c>
      <c r="K547" s="1">
        <f>TablaVentas[[#This Row],[Total Venta]]-TablaVentas[[#This Row],[Total Costo]]</f>
        <v>205.38000000000005</v>
      </c>
    </row>
    <row r="548" spans="1:11" x14ac:dyDescent="0.25">
      <c r="A548" s="2">
        <v>45308</v>
      </c>
      <c r="B548" s="1" t="s">
        <v>32</v>
      </c>
      <c r="C548" s="1" t="s">
        <v>30</v>
      </c>
      <c r="D548" s="1" t="s">
        <v>24</v>
      </c>
      <c r="E548" s="1" t="s">
        <v>22</v>
      </c>
      <c r="F548" s="1">
        <v>5</v>
      </c>
      <c r="G548" s="1">
        <v>319.47000000000003</v>
      </c>
      <c r="H548" s="1">
        <v>194.21</v>
      </c>
      <c r="I548" s="1">
        <f>TablaVentas[[#This Row],[Precio Unitario]]*TablaVentas[[#This Row],[Cantidad]]</f>
        <v>1597.3500000000001</v>
      </c>
      <c r="J548" s="1">
        <f>TablaVentas[[#This Row],[Costo Unitario]]*TablaVentas[[#This Row],[Cantidad]]</f>
        <v>971.05000000000007</v>
      </c>
      <c r="K548" s="1">
        <f>TablaVentas[[#This Row],[Total Venta]]-TablaVentas[[#This Row],[Total Costo]]</f>
        <v>626.30000000000007</v>
      </c>
    </row>
    <row r="549" spans="1:11" x14ac:dyDescent="0.25">
      <c r="A549" s="2">
        <v>45310</v>
      </c>
      <c r="B549" s="1" t="s">
        <v>8</v>
      </c>
      <c r="C549" s="1" t="s">
        <v>9</v>
      </c>
      <c r="D549" s="1" t="s">
        <v>25</v>
      </c>
      <c r="E549" s="1" t="s">
        <v>11</v>
      </c>
      <c r="F549" s="1">
        <v>3</v>
      </c>
      <c r="G549" s="1">
        <v>693.29</v>
      </c>
      <c r="H549" s="1">
        <v>509.98</v>
      </c>
      <c r="I549" s="1">
        <f>TablaVentas[[#This Row],[Precio Unitario]]*TablaVentas[[#This Row],[Cantidad]]</f>
        <v>2079.87</v>
      </c>
      <c r="J549" s="1">
        <f>TablaVentas[[#This Row],[Costo Unitario]]*TablaVentas[[#This Row],[Cantidad]]</f>
        <v>1529.94</v>
      </c>
      <c r="K549" s="1">
        <f>TablaVentas[[#This Row],[Total Venta]]-TablaVentas[[#This Row],[Total Costo]]</f>
        <v>549.92999999999984</v>
      </c>
    </row>
    <row r="550" spans="1:11" x14ac:dyDescent="0.25">
      <c r="A550" s="2">
        <v>45310</v>
      </c>
      <c r="B550" s="1" t="s">
        <v>21</v>
      </c>
      <c r="C550" s="1" t="s">
        <v>19</v>
      </c>
      <c r="D550" s="1" t="s">
        <v>24</v>
      </c>
      <c r="E550" s="1" t="s">
        <v>11</v>
      </c>
      <c r="F550" s="1">
        <v>4</v>
      </c>
      <c r="G550" s="1">
        <v>101.67</v>
      </c>
      <c r="H550" s="1">
        <v>52.62</v>
      </c>
      <c r="I550" s="1">
        <f>TablaVentas[[#This Row],[Precio Unitario]]*TablaVentas[[#This Row],[Cantidad]]</f>
        <v>406.68</v>
      </c>
      <c r="J550" s="1">
        <f>TablaVentas[[#This Row],[Costo Unitario]]*TablaVentas[[#This Row],[Cantidad]]</f>
        <v>210.48</v>
      </c>
      <c r="K550" s="1">
        <f>TablaVentas[[#This Row],[Total Venta]]-TablaVentas[[#This Row],[Total Costo]]</f>
        <v>196.20000000000002</v>
      </c>
    </row>
    <row r="551" spans="1:11" x14ac:dyDescent="0.25">
      <c r="A551" s="2">
        <v>45311</v>
      </c>
      <c r="B551" s="1" t="s">
        <v>26</v>
      </c>
      <c r="C551" s="1" t="s">
        <v>19</v>
      </c>
      <c r="D551" s="1" t="s">
        <v>24</v>
      </c>
      <c r="E551" s="1" t="s">
        <v>15</v>
      </c>
      <c r="F551" s="1">
        <v>8</v>
      </c>
      <c r="G551" s="1">
        <v>47.96</v>
      </c>
      <c r="H551" s="1">
        <v>23.72</v>
      </c>
      <c r="I551" s="1">
        <f>TablaVentas[[#This Row],[Precio Unitario]]*TablaVentas[[#This Row],[Cantidad]]</f>
        <v>383.68</v>
      </c>
      <c r="J551" s="1">
        <f>TablaVentas[[#This Row],[Costo Unitario]]*TablaVentas[[#This Row],[Cantidad]]</f>
        <v>189.76</v>
      </c>
      <c r="K551" s="1">
        <f>TablaVentas[[#This Row],[Total Venta]]-TablaVentas[[#This Row],[Total Costo]]</f>
        <v>193.92000000000002</v>
      </c>
    </row>
    <row r="552" spans="1:11" x14ac:dyDescent="0.25">
      <c r="A552" s="2">
        <v>45312</v>
      </c>
      <c r="B552" s="1" t="s">
        <v>32</v>
      </c>
      <c r="C552" s="1" t="s">
        <v>30</v>
      </c>
      <c r="D552" s="1" t="s">
        <v>14</v>
      </c>
      <c r="E552" s="1" t="s">
        <v>20</v>
      </c>
      <c r="F552" s="1">
        <v>2</v>
      </c>
      <c r="G552" s="1">
        <v>296.05</v>
      </c>
      <c r="H552" s="1">
        <v>204.92</v>
      </c>
      <c r="I552" s="1">
        <f>TablaVentas[[#This Row],[Precio Unitario]]*TablaVentas[[#This Row],[Cantidad]]</f>
        <v>592.1</v>
      </c>
      <c r="J552" s="1">
        <f>TablaVentas[[#This Row],[Costo Unitario]]*TablaVentas[[#This Row],[Cantidad]]</f>
        <v>409.84</v>
      </c>
      <c r="K552" s="1">
        <f>TablaVentas[[#This Row],[Total Venta]]-TablaVentas[[#This Row],[Total Costo]]</f>
        <v>182.26000000000005</v>
      </c>
    </row>
    <row r="553" spans="1:11" x14ac:dyDescent="0.25">
      <c r="A553" s="2">
        <v>45313</v>
      </c>
      <c r="B553" s="1" t="s">
        <v>16</v>
      </c>
      <c r="C553" s="1" t="s">
        <v>13</v>
      </c>
      <c r="D553" s="1" t="s">
        <v>25</v>
      </c>
      <c r="E553" s="1" t="s">
        <v>28</v>
      </c>
      <c r="F553" s="1">
        <v>2</v>
      </c>
      <c r="G553" s="1">
        <v>52.02</v>
      </c>
      <c r="H553" s="1">
        <v>37.47</v>
      </c>
      <c r="I553" s="1">
        <f>TablaVentas[[#This Row],[Precio Unitario]]*TablaVentas[[#This Row],[Cantidad]]</f>
        <v>104.04</v>
      </c>
      <c r="J553" s="1">
        <f>TablaVentas[[#This Row],[Costo Unitario]]*TablaVentas[[#This Row],[Cantidad]]</f>
        <v>74.94</v>
      </c>
      <c r="K553" s="1">
        <f>TablaVentas[[#This Row],[Total Venta]]-TablaVentas[[#This Row],[Total Costo]]</f>
        <v>29.100000000000009</v>
      </c>
    </row>
    <row r="554" spans="1:11" x14ac:dyDescent="0.25">
      <c r="A554" s="2">
        <v>45314</v>
      </c>
      <c r="B554" s="1" t="s">
        <v>23</v>
      </c>
      <c r="C554" s="1" t="s">
        <v>9</v>
      </c>
      <c r="D554" s="1" t="s">
        <v>17</v>
      </c>
      <c r="E554" s="1" t="s">
        <v>11</v>
      </c>
      <c r="F554" s="1">
        <v>3</v>
      </c>
      <c r="G554" s="1">
        <v>77.55</v>
      </c>
      <c r="H554" s="1">
        <v>43.79</v>
      </c>
      <c r="I554" s="1">
        <f>TablaVentas[[#This Row],[Precio Unitario]]*TablaVentas[[#This Row],[Cantidad]]</f>
        <v>232.64999999999998</v>
      </c>
      <c r="J554" s="1">
        <f>TablaVentas[[#This Row],[Costo Unitario]]*TablaVentas[[#This Row],[Cantidad]]</f>
        <v>131.37</v>
      </c>
      <c r="K554" s="1">
        <f>TablaVentas[[#This Row],[Total Venta]]-TablaVentas[[#This Row],[Total Costo]]</f>
        <v>101.27999999999997</v>
      </c>
    </row>
    <row r="555" spans="1:11" x14ac:dyDescent="0.25">
      <c r="A555" s="2">
        <v>45317</v>
      </c>
      <c r="B555" s="1" t="s">
        <v>23</v>
      </c>
      <c r="C555" s="1" t="s">
        <v>9</v>
      </c>
      <c r="D555" s="1" t="s">
        <v>14</v>
      </c>
      <c r="E555" s="1" t="s">
        <v>20</v>
      </c>
      <c r="F555" s="1">
        <v>8</v>
      </c>
      <c r="G555" s="1">
        <v>79.459999999999994</v>
      </c>
      <c r="H555" s="1">
        <v>43.79</v>
      </c>
      <c r="I555" s="1">
        <f>TablaVentas[[#This Row],[Precio Unitario]]*TablaVentas[[#This Row],[Cantidad]]</f>
        <v>635.67999999999995</v>
      </c>
      <c r="J555" s="1">
        <f>TablaVentas[[#This Row],[Costo Unitario]]*TablaVentas[[#This Row],[Cantidad]]</f>
        <v>350.32</v>
      </c>
      <c r="K555" s="1">
        <f>TablaVentas[[#This Row],[Total Venta]]-TablaVentas[[#This Row],[Total Costo]]</f>
        <v>285.35999999999996</v>
      </c>
    </row>
    <row r="556" spans="1:11" x14ac:dyDescent="0.25">
      <c r="A556" s="2">
        <v>45317</v>
      </c>
      <c r="B556" s="1" t="s">
        <v>21</v>
      </c>
      <c r="C556" s="1" t="s">
        <v>19</v>
      </c>
      <c r="D556" s="1" t="s">
        <v>24</v>
      </c>
      <c r="E556" s="1" t="s">
        <v>22</v>
      </c>
      <c r="F556" s="1">
        <v>9</v>
      </c>
      <c r="G556" s="1">
        <v>87.7</v>
      </c>
      <c r="H556" s="1">
        <v>54.06</v>
      </c>
      <c r="I556" s="1">
        <f>TablaVentas[[#This Row],[Precio Unitario]]*TablaVentas[[#This Row],[Cantidad]]</f>
        <v>789.30000000000007</v>
      </c>
      <c r="J556" s="1">
        <f>TablaVentas[[#This Row],[Costo Unitario]]*TablaVentas[[#This Row],[Cantidad]]</f>
        <v>486.54</v>
      </c>
      <c r="K556" s="1">
        <f>TablaVentas[[#This Row],[Total Venta]]-TablaVentas[[#This Row],[Total Costo]]</f>
        <v>302.76000000000005</v>
      </c>
    </row>
    <row r="557" spans="1:11" x14ac:dyDescent="0.25">
      <c r="A557" s="2">
        <v>45318</v>
      </c>
      <c r="B557" s="1" t="s">
        <v>18</v>
      </c>
      <c r="C557" s="1" t="s">
        <v>19</v>
      </c>
      <c r="D557" s="1" t="s">
        <v>17</v>
      </c>
      <c r="E557" s="1" t="s">
        <v>20</v>
      </c>
      <c r="F557" s="1">
        <v>3</v>
      </c>
      <c r="G557" s="1">
        <v>1136.3</v>
      </c>
      <c r="H557" s="1">
        <v>774.53</v>
      </c>
      <c r="I557" s="1">
        <f>TablaVentas[[#This Row],[Precio Unitario]]*TablaVentas[[#This Row],[Cantidad]]</f>
        <v>3408.8999999999996</v>
      </c>
      <c r="J557" s="1">
        <f>TablaVentas[[#This Row],[Costo Unitario]]*TablaVentas[[#This Row],[Cantidad]]</f>
        <v>2323.59</v>
      </c>
      <c r="K557" s="1">
        <f>TablaVentas[[#This Row],[Total Venta]]-TablaVentas[[#This Row],[Total Costo]]</f>
        <v>1085.3099999999995</v>
      </c>
    </row>
    <row r="558" spans="1:11" x14ac:dyDescent="0.25">
      <c r="A558" s="2">
        <v>45318</v>
      </c>
      <c r="B558" s="1" t="s">
        <v>26</v>
      </c>
      <c r="C558" s="1" t="s">
        <v>19</v>
      </c>
      <c r="D558" s="1" t="s">
        <v>17</v>
      </c>
      <c r="E558" s="1" t="s">
        <v>20</v>
      </c>
      <c r="F558" s="1">
        <v>8</v>
      </c>
      <c r="G558" s="1">
        <v>50.3</v>
      </c>
      <c r="H558" s="1">
        <v>24.53</v>
      </c>
      <c r="I558" s="1">
        <f>TablaVentas[[#This Row],[Precio Unitario]]*TablaVentas[[#This Row],[Cantidad]]</f>
        <v>402.4</v>
      </c>
      <c r="J558" s="1">
        <f>TablaVentas[[#This Row],[Costo Unitario]]*TablaVentas[[#This Row],[Cantidad]]</f>
        <v>196.24</v>
      </c>
      <c r="K558" s="1">
        <f>TablaVentas[[#This Row],[Total Venta]]-TablaVentas[[#This Row],[Total Costo]]</f>
        <v>206.15999999999997</v>
      </c>
    </row>
    <row r="559" spans="1:11" x14ac:dyDescent="0.25">
      <c r="A559" s="2">
        <v>45318</v>
      </c>
      <c r="B559" s="1" t="s">
        <v>12</v>
      </c>
      <c r="C559" s="1" t="s">
        <v>13</v>
      </c>
      <c r="D559" s="1" t="s">
        <v>17</v>
      </c>
      <c r="E559" s="1" t="s">
        <v>11</v>
      </c>
      <c r="F559" s="1">
        <v>4</v>
      </c>
      <c r="G559" s="1">
        <v>60.64</v>
      </c>
      <c r="H559" s="1">
        <v>41.97</v>
      </c>
      <c r="I559" s="1">
        <f>TablaVentas[[#This Row],[Precio Unitario]]*TablaVentas[[#This Row],[Cantidad]]</f>
        <v>242.56</v>
      </c>
      <c r="J559" s="1">
        <f>TablaVentas[[#This Row],[Costo Unitario]]*TablaVentas[[#This Row],[Cantidad]]</f>
        <v>167.88</v>
      </c>
      <c r="K559" s="1">
        <f>TablaVentas[[#This Row],[Total Venta]]-TablaVentas[[#This Row],[Total Costo]]</f>
        <v>74.680000000000007</v>
      </c>
    </row>
    <row r="560" spans="1:11" x14ac:dyDescent="0.25">
      <c r="A560" s="2">
        <v>45318</v>
      </c>
      <c r="B560" s="1" t="s">
        <v>18</v>
      </c>
      <c r="C560" s="1" t="s">
        <v>19</v>
      </c>
      <c r="D560" s="1" t="s">
        <v>14</v>
      </c>
      <c r="E560" s="1" t="s">
        <v>20</v>
      </c>
      <c r="F560" s="1">
        <v>10</v>
      </c>
      <c r="G560" s="1">
        <v>1260.6199999999999</v>
      </c>
      <c r="H560" s="1">
        <v>868.53</v>
      </c>
      <c r="I560" s="1">
        <f>TablaVentas[[#This Row],[Precio Unitario]]*TablaVentas[[#This Row],[Cantidad]]</f>
        <v>12606.199999999999</v>
      </c>
      <c r="J560" s="1">
        <f>TablaVentas[[#This Row],[Costo Unitario]]*TablaVentas[[#This Row],[Cantidad]]</f>
        <v>8685.2999999999993</v>
      </c>
      <c r="K560" s="1">
        <f>TablaVentas[[#This Row],[Total Venta]]-TablaVentas[[#This Row],[Total Costo]]</f>
        <v>3920.8999999999996</v>
      </c>
    </row>
    <row r="561" spans="1:11" x14ac:dyDescent="0.25">
      <c r="A561" s="2">
        <v>45321</v>
      </c>
      <c r="B561" s="1" t="s">
        <v>21</v>
      </c>
      <c r="C561" s="1" t="s">
        <v>19</v>
      </c>
      <c r="D561" s="1" t="s">
        <v>27</v>
      </c>
      <c r="E561" s="1" t="s">
        <v>11</v>
      </c>
      <c r="F561" s="1">
        <v>4</v>
      </c>
      <c r="G561" s="1">
        <v>80.680000000000007</v>
      </c>
      <c r="H561" s="1">
        <v>55.66</v>
      </c>
      <c r="I561" s="1">
        <f>TablaVentas[[#This Row],[Precio Unitario]]*TablaVentas[[#This Row],[Cantidad]]</f>
        <v>322.72000000000003</v>
      </c>
      <c r="J561" s="1">
        <f>TablaVentas[[#This Row],[Costo Unitario]]*TablaVentas[[#This Row],[Cantidad]]</f>
        <v>222.64</v>
      </c>
      <c r="K561" s="1">
        <f>TablaVentas[[#This Row],[Total Venta]]-TablaVentas[[#This Row],[Total Costo]]</f>
        <v>100.08000000000004</v>
      </c>
    </row>
    <row r="562" spans="1:11" x14ac:dyDescent="0.25">
      <c r="A562" s="2">
        <v>45322</v>
      </c>
      <c r="B562" s="1" t="s">
        <v>21</v>
      </c>
      <c r="C562" s="1" t="s">
        <v>19</v>
      </c>
      <c r="D562" s="1" t="s">
        <v>10</v>
      </c>
      <c r="E562" s="1" t="s">
        <v>20</v>
      </c>
      <c r="F562" s="1">
        <v>9</v>
      </c>
      <c r="G562" s="1">
        <v>85.4</v>
      </c>
      <c r="H562" s="1">
        <v>49.46</v>
      </c>
      <c r="I562" s="1">
        <f>TablaVentas[[#This Row],[Precio Unitario]]*TablaVentas[[#This Row],[Cantidad]]</f>
        <v>768.6</v>
      </c>
      <c r="J562" s="1">
        <f>TablaVentas[[#This Row],[Costo Unitario]]*TablaVentas[[#This Row],[Cantidad]]</f>
        <v>445.14</v>
      </c>
      <c r="K562" s="1">
        <f>TablaVentas[[#This Row],[Total Venta]]-TablaVentas[[#This Row],[Total Costo]]</f>
        <v>323.46000000000004</v>
      </c>
    </row>
    <row r="563" spans="1:11" x14ac:dyDescent="0.25">
      <c r="A563" s="2">
        <v>45322</v>
      </c>
      <c r="B563" s="1" t="s">
        <v>23</v>
      </c>
      <c r="C563" s="1" t="s">
        <v>9</v>
      </c>
      <c r="D563" s="1" t="s">
        <v>33</v>
      </c>
      <c r="E563" s="1" t="s">
        <v>28</v>
      </c>
      <c r="F563" s="1">
        <v>4</v>
      </c>
      <c r="G563" s="1">
        <v>81.41</v>
      </c>
      <c r="H563" s="1">
        <v>46.92</v>
      </c>
      <c r="I563" s="1">
        <f>TablaVentas[[#This Row],[Precio Unitario]]*TablaVentas[[#This Row],[Cantidad]]</f>
        <v>325.64</v>
      </c>
      <c r="J563" s="1">
        <f>TablaVentas[[#This Row],[Costo Unitario]]*TablaVentas[[#This Row],[Cantidad]]</f>
        <v>187.68</v>
      </c>
      <c r="K563" s="1">
        <f>TablaVentas[[#This Row],[Total Venta]]-TablaVentas[[#This Row],[Total Costo]]</f>
        <v>137.95999999999998</v>
      </c>
    </row>
    <row r="564" spans="1:11" x14ac:dyDescent="0.25">
      <c r="A564" s="2">
        <v>45324</v>
      </c>
      <c r="B564" s="1" t="s">
        <v>8</v>
      </c>
      <c r="C564" s="1" t="s">
        <v>9</v>
      </c>
      <c r="D564" s="1" t="s">
        <v>14</v>
      </c>
      <c r="E564" s="1" t="s">
        <v>15</v>
      </c>
      <c r="F564" s="1">
        <v>8</v>
      </c>
      <c r="G564" s="1">
        <v>630.63</v>
      </c>
      <c r="H564" s="1">
        <v>437.53</v>
      </c>
      <c r="I564" s="1">
        <f>TablaVentas[[#This Row],[Precio Unitario]]*TablaVentas[[#This Row],[Cantidad]]</f>
        <v>5045.04</v>
      </c>
      <c r="J564" s="1">
        <f>TablaVentas[[#This Row],[Costo Unitario]]*TablaVentas[[#This Row],[Cantidad]]</f>
        <v>3500.24</v>
      </c>
      <c r="K564" s="1">
        <f>TablaVentas[[#This Row],[Total Venta]]-TablaVentas[[#This Row],[Total Costo]]</f>
        <v>1544.8000000000002</v>
      </c>
    </row>
    <row r="565" spans="1:11" x14ac:dyDescent="0.25">
      <c r="A565" s="2">
        <v>45324</v>
      </c>
      <c r="B565" s="1" t="s">
        <v>18</v>
      </c>
      <c r="C565" s="1" t="s">
        <v>19</v>
      </c>
      <c r="D565" s="1" t="s">
        <v>31</v>
      </c>
      <c r="E565" s="1" t="s">
        <v>22</v>
      </c>
      <c r="F565" s="1">
        <v>10</v>
      </c>
      <c r="G565" s="1">
        <v>1026.94</v>
      </c>
      <c r="H565" s="1">
        <v>876.63</v>
      </c>
      <c r="I565" s="1">
        <f>TablaVentas[[#This Row],[Precio Unitario]]*TablaVentas[[#This Row],[Cantidad]]</f>
        <v>10269.400000000001</v>
      </c>
      <c r="J565" s="1">
        <f>TablaVentas[[#This Row],[Costo Unitario]]*TablaVentas[[#This Row],[Cantidad]]</f>
        <v>8766.2999999999993</v>
      </c>
      <c r="K565" s="1">
        <f>TablaVentas[[#This Row],[Total Venta]]-TablaVentas[[#This Row],[Total Costo]]</f>
        <v>1503.1000000000022</v>
      </c>
    </row>
    <row r="566" spans="1:11" x14ac:dyDescent="0.25">
      <c r="A566" s="2">
        <v>45324</v>
      </c>
      <c r="B566" s="1" t="s">
        <v>23</v>
      </c>
      <c r="C566" s="1" t="s">
        <v>9</v>
      </c>
      <c r="D566" s="1" t="s">
        <v>14</v>
      </c>
      <c r="E566" s="1" t="s">
        <v>15</v>
      </c>
      <c r="F566" s="1">
        <v>7</v>
      </c>
      <c r="G566" s="1">
        <v>84.99</v>
      </c>
      <c r="H566" s="1">
        <v>47.44</v>
      </c>
      <c r="I566" s="1">
        <f>TablaVentas[[#This Row],[Precio Unitario]]*TablaVentas[[#This Row],[Cantidad]]</f>
        <v>594.92999999999995</v>
      </c>
      <c r="J566" s="1">
        <f>TablaVentas[[#This Row],[Costo Unitario]]*TablaVentas[[#This Row],[Cantidad]]</f>
        <v>332.08</v>
      </c>
      <c r="K566" s="1">
        <f>TablaVentas[[#This Row],[Total Venta]]-TablaVentas[[#This Row],[Total Costo]]</f>
        <v>262.84999999999997</v>
      </c>
    </row>
    <row r="567" spans="1:11" x14ac:dyDescent="0.25">
      <c r="A567" s="2">
        <v>45324</v>
      </c>
      <c r="B567" s="1" t="s">
        <v>8</v>
      </c>
      <c r="C567" s="1" t="s">
        <v>9</v>
      </c>
      <c r="D567" s="1" t="s">
        <v>27</v>
      </c>
      <c r="E567" s="1" t="s">
        <v>22</v>
      </c>
      <c r="F567" s="1">
        <v>6</v>
      </c>
      <c r="G567" s="1">
        <v>691.21</v>
      </c>
      <c r="H567" s="1">
        <v>436.16</v>
      </c>
      <c r="I567" s="1">
        <f>TablaVentas[[#This Row],[Precio Unitario]]*TablaVentas[[#This Row],[Cantidad]]</f>
        <v>4147.26</v>
      </c>
      <c r="J567" s="1">
        <f>TablaVentas[[#This Row],[Costo Unitario]]*TablaVentas[[#This Row],[Cantidad]]</f>
        <v>2616.96</v>
      </c>
      <c r="K567" s="1">
        <f>TablaVentas[[#This Row],[Total Venta]]-TablaVentas[[#This Row],[Total Costo]]</f>
        <v>1530.3000000000002</v>
      </c>
    </row>
    <row r="568" spans="1:11" x14ac:dyDescent="0.25">
      <c r="A568" s="2">
        <v>45325</v>
      </c>
      <c r="B568" s="1" t="s">
        <v>16</v>
      </c>
      <c r="C568" s="1" t="s">
        <v>13</v>
      </c>
      <c r="D568" s="1" t="s">
        <v>27</v>
      </c>
      <c r="E568" s="1" t="s">
        <v>11</v>
      </c>
      <c r="F568" s="1">
        <v>9</v>
      </c>
      <c r="G568" s="1">
        <v>54.68</v>
      </c>
      <c r="H568" s="1">
        <v>33.119999999999997</v>
      </c>
      <c r="I568" s="1">
        <f>TablaVentas[[#This Row],[Precio Unitario]]*TablaVentas[[#This Row],[Cantidad]]</f>
        <v>492.12</v>
      </c>
      <c r="J568" s="1">
        <f>TablaVentas[[#This Row],[Costo Unitario]]*TablaVentas[[#This Row],[Cantidad]]</f>
        <v>298.08</v>
      </c>
      <c r="K568" s="1">
        <f>TablaVentas[[#This Row],[Total Venta]]-TablaVentas[[#This Row],[Total Costo]]</f>
        <v>194.04000000000002</v>
      </c>
    </row>
    <row r="569" spans="1:11" x14ac:dyDescent="0.25">
      <c r="A569" s="2">
        <v>45325</v>
      </c>
      <c r="B569" s="1" t="s">
        <v>32</v>
      </c>
      <c r="C569" s="1" t="s">
        <v>30</v>
      </c>
      <c r="D569" s="1" t="s">
        <v>27</v>
      </c>
      <c r="E569" s="1" t="s">
        <v>28</v>
      </c>
      <c r="F569" s="1">
        <v>3</v>
      </c>
      <c r="G569" s="1">
        <v>292.18</v>
      </c>
      <c r="H569" s="1">
        <v>202.57</v>
      </c>
      <c r="I569" s="1">
        <f>TablaVentas[[#This Row],[Precio Unitario]]*TablaVentas[[#This Row],[Cantidad]]</f>
        <v>876.54</v>
      </c>
      <c r="J569" s="1">
        <f>TablaVentas[[#This Row],[Costo Unitario]]*TablaVentas[[#This Row],[Cantidad]]</f>
        <v>607.71</v>
      </c>
      <c r="K569" s="1">
        <f>TablaVentas[[#This Row],[Total Venta]]-TablaVentas[[#This Row],[Total Costo]]</f>
        <v>268.82999999999993</v>
      </c>
    </row>
    <row r="570" spans="1:11" x14ac:dyDescent="0.25">
      <c r="A570" s="2">
        <v>45325</v>
      </c>
      <c r="B570" s="1" t="s">
        <v>21</v>
      </c>
      <c r="C570" s="1" t="s">
        <v>19</v>
      </c>
      <c r="D570" s="1" t="s">
        <v>31</v>
      </c>
      <c r="E570" s="1" t="s">
        <v>20</v>
      </c>
      <c r="F570" s="1">
        <v>5</v>
      </c>
      <c r="G570" s="1">
        <v>95</v>
      </c>
      <c r="H570" s="1">
        <v>51.59</v>
      </c>
      <c r="I570" s="1">
        <f>TablaVentas[[#This Row],[Precio Unitario]]*TablaVentas[[#This Row],[Cantidad]]</f>
        <v>475</v>
      </c>
      <c r="J570" s="1">
        <f>TablaVentas[[#This Row],[Costo Unitario]]*TablaVentas[[#This Row],[Cantidad]]</f>
        <v>257.95000000000005</v>
      </c>
      <c r="K570" s="1">
        <f>TablaVentas[[#This Row],[Total Venta]]-TablaVentas[[#This Row],[Total Costo]]</f>
        <v>217.04999999999995</v>
      </c>
    </row>
    <row r="571" spans="1:11" x14ac:dyDescent="0.25">
      <c r="A571" s="2">
        <v>45326</v>
      </c>
      <c r="B571" s="1" t="s">
        <v>21</v>
      </c>
      <c r="C571" s="1" t="s">
        <v>19</v>
      </c>
      <c r="D571" s="1" t="s">
        <v>24</v>
      </c>
      <c r="E571" s="1" t="s">
        <v>22</v>
      </c>
      <c r="F571" s="1">
        <v>10</v>
      </c>
      <c r="G571" s="1">
        <v>98.07</v>
      </c>
      <c r="H571" s="1">
        <v>51.06</v>
      </c>
      <c r="I571" s="1">
        <f>TablaVentas[[#This Row],[Precio Unitario]]*TablaVentas[[#This Row],[Cantidad]]</f>
        <v>980.69999999999993</v>
      </c>
      <c r="J571" s="1">
        <f>TablaVentas[[#This Row],[Costo Unitario]]*TablaVentas[[#This Row],[Cantidad]]</f>
        <v>510.6</v>
      </c>
      <c r="K571" s="1">
        <f>TablaVentas[[#This Row],[Total Venta]]-TablaVentas[[#This Row],[Total Costo]]</f>
        <v>470.09999999999991</v>
      </c>
    </row>
    <row r="572" spans="1:11" x14ac:dyDescent="0.25">
      <c r="A572" s="2">
        <v>45326</v>
      </c>
      <c r="B572" s="1" t="s">
        <v>34</v>
      </c>
      <c r="C572" s="1" t="s">
        <v>13</v>
      </c>
      <c r="D572" s="1" t="s">
        <v>17</v>
      </c>
      <c r="E572" s="1" t="s">
        <v>28</v>
      </c>
      <c r="F572" s="1">
        <v>7</v>
      </c>
      <c r="G572" s="1">
        <v>253.21</v>
      </c>
      <c r="H572" s="1">
        <v>174.91</v>
      </c>
      <c r="I572" s="1">
        <f>TablaVentas[[#This Row],[Precio Unitario]]*TablaVentas[[#This Row],[Cantidad]]</f>
        <v>1772.47</v>
      </c>
      <c r="J572" s="1">
        <f>TablaVentas[[#This Row],[Costo Unitario]]*TablaVentas[[#This Row],[Cantidad]]</f>
        <v>1224.3699999999999</v>
      </c>
      <c r="K572" s="1">
        <f>TablaVentas[[#This Row],[Total Venta]]-TablaVentas[[#This Row],[Total Costo]]</f>
        <v>548.10000000000014</v>
      </c>
    </row>
    <row r="573" spans="1:11" x14ac:dyDescent="0.25">
      <c r="A573" s="2">
        <v>45328</v>
      </c>
      <c r="B573" s="1" t="s">
        <v>18</v>
      </c>
      <c r="C573" s="1" t="s">
        <v>19</v>
      </c>
      <c r="D573" s="1" t="s">
        <v>10</v>
      </c>
      <c r="E573" s="1" t="s">
        <v>15</v>
      </c>
      <c r="F573" s="1">
        <v>5</v>
      </c>
      <c r="G573" s="1">
        <v>1181.23</v>
      </c>
      <c r="H573" s="1">
        <v>933.22</v>
      </c>
      <c r="I573" s="1">
        <f>TablaVentas[[#This Row],[Precio Unitario]]*TablaVentas[[#This Row],[Cantidad]]</f>
        <v>5906.15</v>
      </c>
      <c r="J573" s="1">
        <f>TablaVentas[[#This Row],[Costo Unitario]]*TablaVentas[[#This Row],[Cantidad]]</f>
        <v>4666.1000000000004</v>
      </c>
      <c r="K573" s="1">
        <f>TablaVentas[[#This Row],[Total Venta]]-TablaVentas[[#This Row],[Total Costo]]</f>
        <v>1240.0499999999993</v>
      </c>
    </row>
    <row r="574" spans="1:11" x14ac:dyDescent="0.25">
      <c r="A574" s="2">
        <v>45331</v>
      </c>
      <c r="B574" s="1" t="s">
        <v>29</v>
      </c>
      <c r="C574" s="1" t="s">
        <v>30</v>
      </c>
      <c r="D574" s="1" t="s">
        <v>10</v>
      </c>
      <c r="E574" s="1" t="s">
        <v>11</v>
      </c>
      <c r="F574" s="1">
        <v>7</v>
      </c>
      <c r="G574" s="1">
        <v>427.06</v>
      </c>
      <c r="H574" s="1">
        <v>318.55</v>
      </c>
      <c r="I574" s="1">
        <f>TablaVentas[[#This Row],[Precio Unitario]]*TablaVentas[[#This Row],[Cantidad]]</f>
        <v>2989.42</v>
      </c>
      <c r="J574" s="1">
        <f>TablaVentas[[#This Row],[Costo Unitario]]*TablaVentas[[#This Row],[Cantidad]]</f>
        <v>2229.85</v>
      </c>
      <c r="K574" s="1">
        <f>TablaVentas[[#This Row],[Total Venta]]-TablaVentas[[#This Row],[Total Costo]]</f>
        <v>759.57000000000016</v>
      </c>
    </row>
    <row r="575" spans="1:11" x14ac:dyDescent="0.25">
      <c r="A575" s="2">
        <v>45331</v>
      </c>
      <c r="B575" s="1" t="s">
        <v>32</v>
      </c>
      <c r="C575" s="1" t="s">
        <v>30</v>
      </c>
      <c r="D575" s="1" t="s">
        <v>24</v>
      </c>
      <c r="E575" s="1" t="s">
        <v>11</v>
      </c>
      <c r="F575" s="1">
        <v>8</v>
      </c>
      <c r="G575" s="1">
        <v>340.5</v>
      </c>
      <c r="H575" s="1">
        <v>230.88</v>
      </c>
      <c r="I575" s="1">
        <f>TablaVentas[[#This Row],[Precio Unitario]]*TablaVentas[[#This Row],[Cantidad]]</f>
        <v>2724</v>
      </c>
      <c r="J575" s="1">
        <f>TablaVentas[[#This Row],[Costo Unitario]]*TablaVentas[[#This Row],[Cantidad]]</f>
        <v>1847.04</v>
      </c>
      <c r="K575" s="1">
        <f>TablaVentas[[#This Row],[Total Venta]]-TablaVentas[[#This Row],[Total Costo]]</f>
        <v>876.96</v>
      </c>
    </row>
    <row r="576" spans="1:11" x14ac:dyDescent="0.25">
      <c r="A576" s="2">
        <v>45334</v>
      </c>
      <c r="B576" s="1" t="s">
        <v>23</v>
      </c>
      <c r="C576" s="1" t="s">
        <v>9</v>
      </c>
      <c r="D576" s="1" t="s">
        <v>10</v>
      </c>
      <c r="E576" s="1" t="s">
        <v>28</v>
      </c>
      <c r="F576" s="1">
        <v>5</v>
      </c>
      <c r="G576" s="1">
        <v>73.05</v>
      </c>
      <c r="H576" s="1">
        <v>46.08</v>
      </c>
      <c r="I576" s="1">
        <f>TablaVentas[[#This Row],[Precio Unitario]]*TablaVentas[[#This Row],[Cantidad]]</f>
        <v>365.25</v>
      </c>
      <c r="J576" s="1">
        <f>TablaVentas[[#This Row],[Costo Unitario]]*TablaVentas[[#This Row],[Cantidad]]</f>
        <v>230.39999999999998</v>
      </c>
      <c r="K576" s="1">
        <f>TablaVentas[[#This Row],[Total Venta]]-TablaVentas[[#This Row],[Total Costo]]</f>
        <v>134.85000000000002</v>
      </c>
    </row>
    <row r="577" spans="1:11" x14ac:dyDescent="0.25">
      <c r="A577" s="2">
        <v>45335</v>
      </c>
      <c r="B577" s="1" t="s">
        <v>21</v>
      </c>
      <c r="C577" s="1" t="s">
        <v>19</v>
      </c>
      <c r="D577" s="1" t="s">
        <v>10</v>
      </c>
      <c r="E577" s="1" t="s">
        <v>15</v>
      </c>
      <c r="F577" s="1">
        <v>4</v>
      </c>
      <c r="G577" s="1">
        <v>95.56</v>
      </c>
      <c r="H577" s="1">
        <v>55.87</v>
      </c>
      <c r="I577" s="1">
        <f>TablaVentas[[#This Row],[Precio Unitario]]*TablaVentas[[#This Row],[Cantidad]]</f>
        <v>382.24</v>
      </c>
      <c r="J577" s="1">
        <f>TablaVentas[[#This Row],[Costo Unitario]]*TablaVentas[[#This Row],[Cantidad]]</f>
        <v>223.48</v>
      </c>
      <c r="K577" s="1">
        <f>TablaVentas[[#This Row],[Total Venta]]-TablaVentas[[#This Row],[Total Costo]]</f>
        <v>158.76000000000002</v>
      </c>
    </row>
    <row r="578" spans="1:11" x14ac:dyDescent="0.25">
      <c r="A578" s="2">
        <v>45335</v>
      </c>
      <c r="B578" s="1" t="s">
        <v>26</v>
      </c>
      <c r="C578" s="1" t="s">
        <v>19</v>
      </c>
      <c r="D578" s="1" t="s">
        <v>10</v>
      </c>
      <c r="E578" s="1" t="s">
        <v>22</v>
      </c>
      <c r="F578" s="1">
        <v>9</v>
      </c>
      <c r="G578" s="1">
        <v>40.51</v>
      </c>
      <c r="H578" s="1">
        <v>26.42</v>
      </c>
      <c r="I578" s="1">
        <f>TablaVentas[[#This Row],[Precio Unitario]]*TablaVentas[[#This Row],[Cantidad]]</f>
        <v>364.59</v>
      </c>
      <c r="J578" s="1">
        <f>TablaVentas[[#This Row],[Costo Unitario]]*TablaVentas[[#This Row],[Cantidad]]</f>
        <v>237.78000000000003</v>
      </c>
      <c r="K578" s="1">
        <f>TablaVentas[[#This Row],[Total Venta]]-TablaVentas[[#This Row],[Total Costo]]</f>
        <v>126.80999999999995</v>
      </c>
    </row>
    <row r="579" spans="1:11" x14ac:dyDescent="0.25">
      <c r="A579" s="2">
        <v>45336</v>
      </c>
      <c r="B579" s="1" t="s">
        <v>21</v>
      </c>
      <c r="C579" s="1" t="s">
        <v>19</v>
      </c>
      <c r="D579" s="1" t="s">
        <v>25</v>
      </c>
      <c r="E579" s="1" t="s">
        <v>28</v>
      </c>
      <c r="F579" s="1">
        <v>8</v>
      </c>
      <c r="G579" s="1">
        <v>86.3</v>
      </c>
      <c r="H579" s="1">
        <v>56.19</v>
      </c>
      <c r="I579" s="1">
        <f>TablaVentas[[#This Row],[Precio Unitario]]*TablaVentas[[#This Row],[Cantidad]]</f>
        <v>690.4</v>
      </c>
      <c r="J579" s="1">
        <f>TablaVentas[[#This Row],[Costo Unitario]]*TablaVentas[[#This Row],[Cantidad]]</f>
        <v>449.52</v>
      </c>
      <c r="K579" s="1">
        <f>TablaVentas[[#This Row],[Total Venta]]-TablaVentas[[#This Row],[Total Costo]]</f>
        <v>240.88</v>
      </c>
    </row>
    <row r="580" spans="1:11" x14ac:dyDescent="0.25">
      <c r="A580" s="2">
        <v>45336</v>
      </c>
      <c r="B580" s="1" t="s">
        <v>12</v>
      </c>
      <c r="C580" s="1" t="s">
        <v>13</v>
      </c>
      <c r="D580" s="1" t="s">
        <v>10</v>
      </c>
      <c r="E580" s="1" t="s">
        <v>11</v>
      </c>
      <c r="F580" s="1">
        <v>5</v>
      </c>
      <c r="G580" s="1">
        <v>70.709999999999994</v>
      </c>
      <c r="H580" s="1">
        <v>43.39</v>
      </c>
      <c r="I580" s="1">
        <f>TablaVentas[[#This Row],[Precio Unitario]]*TablaVentas[[#This Row],[Cantidad]]</f>
        <v>353.54999999999995</v>
      </c>
      <c r="J580" s="1">
        <f>TablaVentas[[#This Row],[Costo Unitario]]*TablaVentas[[#This Row],[Cantidad]]</f>
        <v>216.95</v>
      </c>
      <c r="K580" s="1">
        <f>TablaVentas[[#This Row],[Total Venta]]-TablaVentas[[#This Row],[Total Costo]]</f>
        <v>136.59999999999997</v>
      </c>
    </row>
    <row r="581" spans="1:11" x14ac:dyDescent="0.25">
      <c r="A581" s="2">
        <v>45337</v>
      </c>
      <c r="B581" s="1" t="s">
        <v>16</v>
      </c>
      <c r="C581" s="1" t="s">
        <v>13</v>
      </c>
      <c r="D581" s="1" t="s">
        <v>10</v>
      </c>
      <c r="E581" s="1" t="s">
        <v>20</v>
      </c>
      <c r="F581" s="1">
        <v>1</v>
      </c>
      <c r="G581" s="1">
        <v>49.45</v>
      </c>
      <c r="H581" s="1">
        <v>32.619999999999997</v>
      </c>
      <c r="I581" s="1">
        <f>TablaVentas[[#This Row],[Precio Unitario]]*TablaVentas[[#This Row],[Cantidad]]</f>
        <v>49.45</v>
      </c>
      <c r="J581" s="1">
        <f>TablaVentas[[#This Row],[Costo Unitario]]*TablaVentas[[#This Row],[Cantidad]]</f>
        <v>32.619999999999997</v>
      </c>
      <c r="K581" s="1">
        <f>TablaVentas[[#This Row],[Total Venta]]-TablaVentas[[#This Row],[Total Costo]]</f>
        <v>16.830000000000005</v>
      </c>
    </row>
    <row r="582" spans="1:11" x14ac:dyDescent="0.25">
      <c r="A582" s="2">
        <v>45340</v>
      </c>
      <c r="B582" s="1" t="s">
        <v>8</v>
      </c>
      <c r="C582" s="1" t="s">
        <v>9</v>
      </c>
      <c r="D582" s="1" t="s">
        <v>10</v>
      </c>
      <c r="E582" s="1" t="s">
        <v>22</v>
      </c>
      <c r="F582" s="1">
        <v>2</v>
      </c>
      <c r="G582" s="1">
        <v>736.88</v>
      </c>
      <c r="H582" s="1">
        <v>492.46</v>
      </c>
      <c r="I582" s="1">
        <f>TablaVentas[[#This Row],[Precio Unitario]]*TablaVentas[[#This Row],[Cantidad]]</f>
        <v>1473.76</v>
      </c>
      <c r="J582" s="1">
        <f>TablaVentas[[#This Row],[Costo Unitario]]*TablaVentas[[#This Row],[Cantidad]]</f>
        <v>984.92</v>
      </c>
      <c r="K582" s="1">
        <f>TablaVentas[[#This Row],[Total Venta]]-TablaVentas[[#This Row],[Total Costo]]</f>
        <v>488.84000000000003</v>
      </c>
    </row>
    <row r="583" spans="1:11" x14ac:dyDescent="0.25">
      <c r="A583" s="2">
        <v>45340</v>
      </c>
      <c r="B583" s="1" t="s">
        <v>18</v>
      </c>
      <c r="C583" s="1" t="s">
        <v>19</v>
      </c>
      <c r="D583" s="1" t="s">
        <v>27</v>
      </c>
      <c r="E583" s="1" t="s">
        <v>15</v>
      </c>
      <c r="F583" s="1">
        <v>5</v>
      </c>
      <c r="G583" s="1">
        <v>1356.43</v>
      </c>
      <c r="H583" s="1">
        <v>846.17</v>
      </c>
      <c r="I583" s="1">
        <f>TablaVentas[[#This Row],[Precio Unitario]]*TablaVentas[[#This Row],[Cantidad]]</f>
        <v>6782.1500000000005</v>
      </c>
      <c r="J583" s="1">
        <f>TablaVentas[[#This Row],[Costo Unitario]]*TablaVentas[[#This Row],[Cantidad]]</f>
        <v>4230.8499999999995</v>
      </c>
      <c r="K583" s="1">
        <f>TablaVentas[[#This Row],[Total Venta]]-TablaVentas[[#This Row],[Total Costo]]</f>
        <v>2551.3000000000011</v>
      </c>
    </row>
    <row r="584" spans="1:11" x14ac:dyDescent="0.25">
      <c r="A584" s="2">
        <v>45340</v>
      </c>
      <c r="B584" s="1" t="s">
        <v>21</v>
      </c>
      <c r="C584" s="1" t="s">
        <v>19</v>
      </c>
      <c r="D584" s="1" t="s">
        <v>31</v>
      </c>
      <c r="E584" s="1" t="s">
        <v>22</v>
      </c>
      <c r="F584" s="1">
        <v>3</v>
      </c>
      <c r="G584" s="1">
        <v>84.37</v>
      </c>
      <c r="H584" s="1">
        <v>56.01</v>
      </c>
      <c r="I584" s="1">
        <f>TablaVentas[[#This Row],[Precio Unitario]]*TablaVentas[[#This Row],[Cantidad]]</f>
        <v>253.11</v>
      </c>
      <c r="J584" s="1">
        <f>TablaVentas[[#This Row],[Costo Unitario]]*TablaVentas[[#This Row],[Cantidad]]</f>
        <v>168.03</v>
      </c>
      <c r="K584" s="1">
        <f>TablaVentas[[#This Row],[Total Venta]]-TablaVentas[[#This Row],[Total Costo]]</f>
        <v>85.080000000000013</v>
      </c>
    </row>
    <row r="585" spans="1:11" x14ac:dyDescent="0.25">
      <c r="A585" s="2">
        <v>45342</v>
      </c>
      <c r="B585" s="1" t="s">
        <v>23</v>
      </c>
      <c r="C585" s="1" t="s">
        <v>9</v>
      </c>
      <c r="D585" s="1" t="s">
        <v>10</v>
      </c>
      <c r="E585" s="1" t="s">
        <v>28</v>
      </c>
      <c r="F585" s="1">
        <v>9</v>
      </c>
      <c r="G585" s="1">
        <v>65.95</v>
      </c>
      <c r="H585" s="1">
        <v>44.05</v>
      </c>
      <c r="I585" s="1">
        <f>TablaVentas[[#This Row],[Precio Unitario]]*TablaVentas[[#This Row],[Cantidad]]</f>
        <v>593.55000000000007</v>
      </c>
      <c r="J585" s="1">
        <f>TablaVentas[[#This Row],[Costo Unitario]]*TablaVentas[[#This Row],[Cantidad]]</f>
        <v>396.45</v>
      </c>
      <c r="K585" s="1">
        <f>TablaVentas[[#This Row],[Total Venta]]-TablaVentas[[#This Row],[Total Costo]]</f>
        <v>197.10000000000008</v>
      </c>
    </row>
    <row r="586" spans="1:11" x14ac:dyDescent="0.25">
      <c r="A586" s="2">
        <v>45342</v>
      </c>
      <c r="B586" s="1" t="s">
        <v>34</v>
      </c>
      <c r="C586" s="1" t="s">
        <v>13</v>
      </c>
      <c r="D586" s="1" t="s">
        <v>10</v>
      </c>
      <c r="E586" s="1" t="s">
        <v>11</v>
      </c>
      <c r="F586" s="1">
        <v>7</v>
      </c>
      <c r="G586" s="1">
        <v>243.49</v>
      </c>
      <c r="H586" s="1">
        <v>188.13</v>
      </c>
      <c r="I586" s="1">
        <f>TablaVentas[[#This Row],[Precio Unitario]]*TablaVentas[[#This Row],[Cantidad]]</f>
        <v>1704.43</v>
      </c>
      <c r="J586" s="1">
        <f>TablaVentas[[#This Row],[Costo Unitario]]*TablaVentas[[#This Row],[Cantidad]]</f>
        <v>1316.9099999999999</v>
      </c>
      <c r="K586" s="1">
        <f>TablaVentas[[#This Row],[Total Venta]]-TablaVentas[[#This Row],[Total Costo]]</f>
        <v>387.52000000000021</v>
      </c>
    </row>
    <row r="587" spans="1:11" x14ac:dyDescent="0.25">
      <c r="A587" s="2">
        <v>45343</v>
      </c>
      <c r="B587" s="1" t="s">
        <v>29</v>
      </c>
      <c r="C587" s="1" t="s">
        <v>30</v>
      </c>
      <c r="D587" s="1" t="s">
        <v>24</v>
      </c>
      <c r="E587" s="1" t="s">
        <v>22</v>
      </c>
      <c r="F587" s="1">
        <v>2</v>
      </c>
      <c r="G587" s="1">
        <v>447.71</v>
      </c>
      <c r="H587" s="1">
        <v>307.14</v>
      </c>
      <c r="I587" s="1">
        <f>TablaVentas[[#This Row],[Precio Unitario]]*TablaVentas[[#This Row],[Cantidad]]</f>
        <v>895.42</v>
      </c>
      <c r="J587" s="1">
        <f>TablaVentas[[#This Row],[Costo Unitario]]*TablaVentas[[#This Row],[Cantidad]]</f>
        <v>614.28</v>
      </c>
      <c r="K587" s="1">
        <f>TablaVentas[[#This Row],[Total Venta]]-TablaVentas[[#This Row],[Total Costo]]</f>
        <v>281.14</v>
      </c>
    </row>
    <row r="588" spans="1:11" x14ac:dyDescent="0.25">
      <c r="A588" s="2">
        <v>45343</v>
      </c>
      <c r="B588" s="1" t="s">
        <v>32</v>
      </c>
      <c r="C588" s="1" t="s">
        <v>30</v>
      </c>
      <c r="D588" s="1" t="s">
        <v>31</v>
      </c>
      <c r="E588" s="1" t="s">
        <v>15</v>
      </c>
      <c r="F588" s="1">
        <v>3</v>
      </c>
      <c r="G588" s="1">
        <v>301.7</v>
      </c>
      <c r="H588" s="1">
        <v>227.84</v>
      </c>
      <c r="I588" s="1">
        <f>TablaVentas[[#This Row],[Precio Unitario]]*TablaVentas[[#This Row],[Cantidad]]</f>
        <v>905.09999999999991</v>
      </c>
      <c r="J588" s="1">
        <f>TablaVentas[[#This Row],[Costo Unitario]]*TablaVentas[[#This Row],[Cantidad]]</f>
        <v>683.52</v>
      </c>
      <c r="K588" s="1">
        <f>TablaVentas[[#This Row],[Total Venta]]-TablaVentas[[#This Row],[Total Costo]]</f>
        <v>221.57999999999993</v>
      </c>
    </row>
    <row r="589" spans="1:11" x14ac:dyDescent="0.25">
      <c r="A589" s="2">
        <v>45344</v>
      </c>
      <c r="B589" s="1" t="s">
        <v>8</v>
      </c>
      <c r="C589" s="1" t="s">
        <v>9</v>
      </c>
      <c r="D589" s="1" t="s">
        <v>27</v>
      </c>
      <c r="E589" s="1" t="s">
        <v>20</v>
      </c>
      <c r="F589" s="1">
        <v>2</v>
      </c>
      <c r="G589" s="1">
        <v>644.51</v>
      </c>
      <c r="H589" s="1">
        <v>444.32</v>
      </c>
      <c r="I589" s="1">
        <f>TablaVentas[[#This Row],[Precio Unitario]]*TablaVentas[[#This Row],[Cantidad]]</f>
        <v>1289.02</v>
      </c>
      <c r="J589" s="1">
        <f>TablaVentas[[#This Row],[Costo Unitario]]*TablaVentas[[#This Row],[Cantidad]]</f>
        <v>888.64</v>
      </c>
      <c r="K589" s="1">
        <f>TablaVentas[[#This Row],[Total Venta]]-TablaVentas[[#This Row],[Total Costo]]</f>
        <v>400.38</v>
      </c>
    </row>
    <row r="590" spans="1:11" x14ac:dyDescent="0.25">
      <c r="A590" s="2">
        <v>45344</v>
      </c>
      <c r="B590" s="1" t="s">
        <v>18</v>
      </c>
      <c r="C590" s="1" t="s">
        <v>19</v>
      </c>
      <c r="D590" s="1" t="s">
        <v>33</v>
      </c>
      <c r="E590" s="1" t="s">
        <v>11</v>
      </c>
      <c r="F590" s="1">
        <v>2</v>
      </c>
      <c r="G590" s="1">
        <v>1271.95</v>
      </c>
      <c r="H590" s="1">
        <v>792.64</v>
      </c>
      <c r="I590" s="1">
        <f>TablaVentas[[#This Row],[Precio Unitario]]*TablaVentas[[#This Row],[Cantidad]]</f>
        <v>2543.9</v>
      </c>
      <c r="J590" s="1">
        <f>TablaVentas[[#This Row],[Costo Unitario]]*TablaVentas[[#This Row],[Cantidad]]</f>
        <v>1585.28</v>
      </c>
      <c r="K590" s="1">
        <f>TablaVentas[[#This Row],[Total Venta]]-TablaVentas[[#This Row],[Total Costo]]</f>
        <v>958.62000000000012</v>
      </c>
    </row>
    <row r="591" spans="1:11" x14ac:dyDescent="0.25">
      <c r="A591" s="2">
        <v>45345</v>
      </c>
      <c r="B591" s="1" t="s">
        <v>34</v>
      </c>
      <c r="C591" s="1" t="s">
        <v>13</v>
      </c>
      <c r="D591" s="1" t="s">
        <v>14</v>
      </c>
      <c r="E591" s="1" t="s">
        <v>22</v>
      </c>
      <c r="F591" s="1">
        <v>7</v>
      </c>
      <c r="G591" s="1">
        <v>301.57</v>
      </c>
      <c r="H591" s="1">
        <v>171.92</v>
      </c>
      <c r="I591" s="1">
        <f>TablaVentas[[#This Row],[Precio Unitario]]*TablaVentas[[#This Row],[Cantidad]]</f>
        <v>2110.9899999999998</v>
      </c>
      <c r="J591" s="1">
        <f>TablaVentas[[#This Row],[Costo Unitario]]*TablaVentas[[#This Row],[Cantidad]]</f>
        <v>1203.4399999999998</v>
      </c>
      <c r="K591" s="1">
        <f>TablaVentas[[#This Row],[Total Venta]]-TablaVentas[[#This Row],[Total Costo]]</f>
        <v>907.55</v>
      </c>
    </row>
    <row r="592" spans="1:11" x14ac:dyDescent="0.25">
      <c r="A592" s="2">
        <v>45347</v>
      </c>
      <c r="B592" s="1" t="s">
        <v>29</v>
      </c>
      <c r="C592" s="1" t="s">
        <v>30</v>
      </c>
      <c r="D592" s="1" t="s">
        <v>17</v>
      </c>
      <c r="E592" s="1" t="s">
        <v>15</v>
      </c>
      <c r="F592" s="1">
        <v>8</v>
      </c>
      <c r="G592" s="1">
        <v>386.24</v>
      </c>
      <c r="H592" s="1">
        <v>317.08999999999997</v>
      </c>
      <c r="I592" s="1">
        <f>TablaVentas[[#This Row],[Precio Unitario]]*TablaVentas[[#This Row],[Cantidad]]</f>
        <v>3089.92</v>
      </c>
      <c r="J592" s="1">
        <f>TablaVentas[[#This Row],[Costo Unitario]]*TablaVentas[[#This Row],[Cantidad]]</f>
        <v>2536.7199999999998</v>
      </c>
      <c r="K592" s="1">
        <f>TablaVentas[[#This Row],[Total Venta]]-TablaVentas[[#This Row],[Total Costo]]</f>
        <v>553.20000000000027</v>
      </c>
    </row>
    <row r="593" spans="1:11" x14ac:dyDescent="0.25">
      <c r="A593" s="2">
        <v>45347</v>
      </c>
      <c r="B593" s="1" t="s">
        <v>18</v>
      </c>
      <c r="C593" s="1" t="s">
        <v>19</v>
      </c>
      <c r="D593" s="1" t="s">
        <v>27</v>
      </c>
      <c r="E593" s="1" t="s">
        <v>11</v>
      </c>
      <c r="F593" s="1">
        <v>3</v>
      </c>
      <c r="G593" s="1">
        <v>1234.9100000000001</v>
      </c>
      <c r="H593" s="1">
        <v>920.26</v>
      </c>
      <c r="I593" s="1">
        <f>TablaVentas[[#This Row],[Precio Unitario]]*TablaVentas[[#This Row],[Cantidad]]</f>
        <v>3704.7300000000005</v>
      </c>
      <c r="J593" s="1">
        <f>TablaVentas[[#This Row],[Costo Unitario]]*TablaVentas[[#This Row],[Cantidad]]</f>
        <v>2760.7799999999997</v>
      </c>
      <c r="K593" s="1">
        <f>TablaVentas[[#This Row],[Total Venta]]-TablaVentas[[#This Row],[Total Costo]]</f>
        <v>943.95000000000073</v>
      </c>
    </row>
    <row r="594" spans="1:11" x14ac:dyDescent="0.25">
      <c r="A594" s="2">
        <v>45348</v>
      </c>
      <c r="B594" s="1" t="s">
        <v>26</v>
      </c>
      <c r="C594" s="1" t="s">
        <v>19</v>
      </c>
      <c r="D594" s="1" t="s">
        <v>17</v>
      </c>
      <c r="E594" s="1" t="s">
        <v>11</v>
      </c>
      <c r="F594" s="1">
        <v>4</v>
      </c>
      <c r="G594" s="1">
        <v>38.89</v>
      </c>
      <c r="H594" s="1">
        <v>24.74</v>
      </c>
      <c r="I594" s="1">
        <f>TablaVentas[[#This Row],[Precio Unitario]]*TablaVentas[[#This Row],[Cantidad]]</f>
        <v>155.56</v>
      </c>
      <c r="J594" s="1">
        <f>TablaVentas[[#This Row],[Costo Unitario]]*TablaVentas[[#This Row],[Cantidad]]</f>
        <v>98.96</v>
      </c>
      <c r="K594" s="1">
        <f>TablaVentas[[#This Row],[Total Venta]]-TablaVentas[[#This Row],[Total Costo]]</f>
        <v>56.600000000000009</v>
      </c>
    </row>
    <row r="595" spans="1:11" x14ac:dyDescent="0.25">
      <c r="A595" s="2">
        <v>45348</v>
      </c>
      <c r="B595" s="1" t="s">
        <v>23</v>
      </c>
      <c r="C595" s="1" t="s">
        <v>9</v>
      </c>
      <c r="D595" s="1" t="s">
        <v>31</v>
      </c>
      <c r="E595" s="1" t="s">
        <v>15</v>
      </c>
      <c r="F595" s="1">
        <v>4</v>
      </c>
      <c r="G595" s="1">
        <v>69.7</v>
      </c>
      <c r="H595" s="1">
        <v>41.52</v>
      </c>
      <c r="I595" s="1">
        <f>TablaVentas[[#This Row],[Precio Unitario]]*TablaVentas[[#This Row],[Cantidad]]</f>
        <v>278.8</v>
      </c>
      <c r="J595" s="1">
        <f>TablaVentas[[#This Row],[Costo Unitario]]*TablaVentas[[#This Row],[Cantidad]]</f>
        <v>166.08</v>
      </c>
      <c r="K595" s="1">
        <f>TablaVentas[[#This Row],[Total Venta]]-TablaVentas[[#This Row],[Total Costo]]</f>
        <v>112.72</v>
      </c>
    </row>
    <row r="596" spans="1:11" x14ac:dyDescent="0.25">
      <c r="A596" s="2">
        <v>45348</v>
      </c>
      <c r="B596" s="1" t="s">
        <v>16</v>
      </c>
      <c r="C596" s="1" t="s">
        <v>13</v>
      </c>
      <c r="D596" s="1" t="s">
        <v>27</v>
      </c>
      <c r="E596" s="1" t="s">
        <v>20</v>
      </c>
      <c r="F596" s="1">
        <v>3</v>
      </c>
      <c r="G596" s="1">
        <v>57.34</v>
      </c>
      <c r="H596" s="1">
        <v>32.64</v>
      </c>
      <c r="I596" s="1">
        <f>TablaVentas[[#This Row],[Precio Unitario]]*TablaVentas[[#This Row],[Cantidad]]</f>
        <v>172.02</v>
      </c>
      <c r="J596" s="1">
        <f>TablaVentas[[#This Row],[Costo Unitario]]*TablaVentas[[#This Row],[Cantidad]]</f>
        <v>97.92</v>
      </c>
      <c r="K596" s="1">
        <f>TablaVentas[[#This Row],[Total Venta]]-TablaVentas[[#This Row],[Total Costo]]</f>
        <v>74.100000000000009</v>
      </c>
    </row>
    <row r="597" spans="1:11" x14ac:dyDescent="0.25">
      <c r="A597" s="2">
        <v>45348</v>
      </c>
      <c r="B597" s="1" t="s">
        <v>12</v>
      </c>
      <c r="C597" s="1" t="s">
        <v>13</v>
      </c>
      <c r="D597" s="1" t="s">
        <v>14</v>
      </c>
      <c r="E597" s="1" t="s">
        <v>28</v>
      </c>
      <c r="F597" s="1">
        <v>2</v>
      </c>
      <c r="G597" s="1">
        <v>72.099999999999994</v>
      </c>
      <c r="H597" s="1">
        <v>41.15</v>
      </c>
      <c r="I597" s="1">
        <f>TablaVentas[[#This Row],[Precio Unitario]]*TablaVentas[[#This Row],[Cantidad]]</f>
        <v>144.19999999999999</v>
      </c>
      <c r="J597" s="1">
        <f>TablaVentas[[#This Row],[Costo Unitario]]*TablaVentas[[#This Row],[Cantidad]]</f>
        <v>82.3</v>
      </c>
      <c r="K597" s="1">
        <f>TablaVentas[[#This Row],[Total Venta]]-TablaVentas[[#This Row],[Total Costo]]</f>
        <v>61.899999999999991</v>
      </c>
    </row>
    <row r="598" spans="1:11" x14ac:dyDescent="0.25">
      <c r="A598" s="2">
        <v>45349</v>
      </c>
      <c r="B598" s="1" t="s">
        <v>21</v>
      </c>
      <c r="C598" s="1" t="s">
        <v>19</v>
      </c>
      <c r="D598" s="1" t="s">
        <v>33</v>
      </c>
      <c r="E598" s="1" t="s">
        <v>11</v>
      </c>
      <c r="F598" s="1">
        <v>2</v>
      </c>
      <c r="G598" s="1">
        <v>89.53</v>
      </c>
      <c r="H598" s="1">
        <v>53.69</v>
      </c>
      <c r="I598" s="1">
        <f>TablaVentas[[#This Row],[Precio Unitario]]*TablaVentas[[#This Row],[Cantidad]]</f>
        <v>179.06</v>
      </c>
      <c r="J598" s="1">
        <f>TablaVentas[[#This Row],[Costo Unitario]]*TablaVentas[[#This Row],[Cantidad]]</f>
        <v>107.38</v>
      </c>
      <c r="K598" s="1">
        <f>TablaVentas[[#This Row],[Total Venta]]-TablaVentas[[#This Row],[Total Costo]]</f>
        <v>71.680000000000007</v>
      </c>
    </row>
    <row r="599" spans="1:11" x14ac:dyDescent="0.25">
      <c r="A599" s="2">
        <v>45349</v>
      </c>
      <c r="B599" s="1" t="s">
        <v>32</v>
      </c>
      <c r="C599" s="1" t="s">
        <v>30</v>
      </c>
      <c r="D599" s="1" t="s">
        <v>25</v>
      </c>
      <c r="E599" s="1" t="s">
        <v>22</v>
      </c>
      <c r="F599" s="1">
        <v>3</v>
      </c>
      <c r="G599" s="1">
        <v>286.22000000000003</v>
      </c>
      <c r="H599" s="1">
        <v>192.51</v>
      </c>
      <c r="I599" s="1">
        <f>TablaVentas[[#This Row],[Precio Unitario]]*TablaVentas[[#This Row],[Cantidad]]</f>
        <v>858.66000000000008</v>
      </c>
      <c r="J599" s="1">
        <f>TablaVentas[[#This Row],[Costo Unitario]]*TablaVentas[[#This Row],[Cantidad]]</f>
        <v>577.53</v>
      </c>
      <c r="K599" s="1">
        <f>TablaVentas[[#This Row],[Total Venta]]-TablaVentas[[#This Row],[Total Costo]]</f>
        <v>281.13000000000011</v>
      </c>
    </row>
    <row r="600" spans="1:11" x14ac:dyDescent="0.25">
      <c r="A600" s="2">
        <v>45350</v>
      </c>
      <c r="B600" s="1" t="s">
        <v>32</v>
      </c>
      <c r="C600" s="1" t="s">
        <v>30</v>
      </c>
      <c r="D600" s="1" t="s">
        <v>25</v>
      </c>
      <c r="E600" s="1" t="s">
        <v>20</v>
      </c>
      <c r="F600" s="1">
        <v>9</v>
      </c>
      <c r="G600" s="1">
        <v>298.33999999999997</v>
      </c>
      <c r="H600" s="1">
        <v>225.4</v>
      </c>
      <c r="I600" s="1">
        <f>TablaVentas[[#This Row],[Precio Unitario]]*TablaVentas[[#This Row],[Cantidad]]</f>
        <v>2685.06</v>
      </c>
      <c r="J600" s="1">
        <f>TablaVentas[[#This Row],[Costo Unitario]]*TablaVentas[[#This Row],[Cantidad]]</f>
        <v>2028.6000000000001</v>
      </c>
      <c r="K600" s="1">
        <f>TablaVentas[[#This Row],[Total Venta]]-TablaVentas[[#This Row],[Total Costo]]</f>
        <v>656.45999999999981</v>
      </c>
    </row>
    <row r="601" spans="1:11" x14ac:dyDescent="0.25">
      <c r="A601" s="2">
        <v>45351</v>
      </c>
      <c r="B601" s="1" t="s">
        <v>21</v>
      </c>
      <c r="C601" s="1" t="s">
        <v>19</v>
      </c>
      <c r="D601" s="1" t="s">
        <v>31</v>
      </c>
      <c r="E601" s="1" t="s">
        <v>22</v>
      </c>
      <c r="F601" s="1">
        <v>2</v>
      </c>
      <c r="G601" s="1">
        <v>93.07</v>
      </c>
      <c r="H601" s="1">
        <v>56.16</v>
      </c>
      <c r="I601" s="1">
        <f>TablaVentas[[#This Row],[Precio Unitario]]*TablaVentas[[#This Row],[Cantidad]]</f>
        <v>186.14</v>
      </c>
      <c r="J601" s="1">
        <f>TablaVentas[[#This Row],[Costo Unitario]]*TablaVentas[[#This Row],[Cantidad]]</f>
        <v>112.32</v>
      </c>
      <c r="K601" s="1">
        <f>TablaVentas[[#This Row],[Total Venta]]-TablaVentas[[#This Row],[Total Costo]]</f>
        <v>73.819999999999993</v>
      </c>
    </row>
    <row r="602" spans="1:11" x14ac:dyDescent="0.25">
      <c r="A602" s="2">
        <v>45352</v>
      </c>
      <c r="B602" s="1" t="s">
        <v>34</v>
      </c>
      <c r="C602" s="1" t="s">
        <v>13</v>
      </c>
      <c r="D602" s="1" t="s">
        <v>25</v>
      </c>
      <c r="E602" s="1" t="s">
        <v>22</v>
      </c>
      <c r="F602" s="1">
        <v>3</v>
      </c>
      <c r="G602" s="1">
        <v>294.07</v>
      </c>
      <c r="H602" s="1">
        <v>204.82</v>
      </c>
      <c r="I602" s="1">
        <f>TablaVentas[[#This Row],[Precio Unitario]]*TablaVentas[[#This Row],[Cantidad]]</f>
        <v>882.21</v>
      </c>
      <c r="J602" s="1">
        <f>TablaVentas[[#This Row],[Costo Unitario]]*TablaVentas[[#This Row],[Cantidad]]</f>
        <v>614.46</v>
      </c>
      <c r="K602" s="1">
        <f>TablaVentas[[#This Row],[Total Venta]]-TablaVentas[[#This Row],[Total Costo]]</f>
        <v>267.75</v>
      </c>
    </row>
    <row r="603" spans="1:11" x14ac:dyDescent="0.25">
      <c r="A603" s="2">
        <v>45352</v>
      </c>
      <c r="B603" s="1" t="s">
        <v>12</v>
      </c>
      <c r="C603" s="1" t="s">
        <v>13</v>
      </c>
      <c r="D603" s="1" t="s">
        <v>31</v>
      </c>
      <c r="E603" s="1" t="s">
        <v>15</v>
      </c>
      <c r="F603" s="1">
        <v>6</v>
      </c>
      <c r="G603" s="1">
        <v>61.39</v>
      </c>
      <c r="H603" s="1">
        <v>41.26</v>
      </c>
      <c r="I603" s="1">
        <f>TablaVentas[[#This Row],[Precio Unitario]]*TablaVentas[[#This Row],[Cantidad]]</f>
        <v>368.34000000000003</v>
      </c>
      <c r="J603" s="1">
        <f>TablaVentas[[#This Row],[Costo Unitario]]*TablaVentas[[#This Row],[Cantidad]]</f>
        <v>247.56</v>
      </c>
      <c r="K603" s="1">
        <f>TablaVentas[[#This Row],[Total Venta]]-TablaVentas[[#This Row],[Total Costo]]</f>
        <v>120.78000000000003</v>
      </c>
    </row>
    <row r="604" spans="1:11" x14ac:dyDescent="0.25">
      <c r="A604" s="2">
        <v>45352</v>
      </c>
      <c r="B604" s="1" t="s">
        <v>32</v>
      </c>
      <c r="C604" s="1" t="s">
        <v>30</v>
      </c>
      <c r="D604" s="1" t="s">
        <v>27</v>
      </c>
      <c r="E604" s="1" t="s">
        <v>15</v>
      </c>
      <c r="F604" s="1">
        <v>9</v>
      </c>
      <c r="G604" s="1">
        <v>316.8</v>
      </c>
      <c r="H604" s="1">
        <v>207.95</v>
      </c>
      <c r="I604" s="1">
        <f>TablaVentas[[#This Row],[Precio Unitario]]*TablaVentas[[#This Row],[Cantidad]]</f>
        <v>2851.2000000000003</v>
      </c>
      <c r="J604" s="1">
        <f>TablaVentas[[#This Row],[Costo Unitario]]*TablaVentas[[#This Row],[Cantidad]]</f>
        <v>1871.55</v>
      </c>
      <c r="K604" s="1">
        <f>TablaVentas[[#This Row],[Total Venta]]-TablaVentas[[#This Row],[Total Costo]]</f>
        <v>979.65000000000032</v>
      </c>
    </row>
    <row r="605" spans="1:11" x14ac:dyDescent="0.25">
      <c r="A605" s="2">
        <v>45352</v>
      </c>
      <c r="B605" s="1" t="s">
        <v>18</v>
      </c>
      <c r="C605" s="1" t="s">
        <v>19</v>
      </c>
      <c r="D605" s="1" t="s">
        <v>14</v>
      </c>
      <c r="E605" s="1" t="s">
        <v>20</v>
      </c>
      <c r="F605" s="1">
        <v>2</v>
      </c>
      <c r="G605" s="1">
        <v>1125.6400000000001</v>
      </c>
      <c r="H605" s="1">
        <v>775.57</v>
      </c>
      <c r="I605" s="1">
        <f>TablaVentas[[#This Row],[Precio Unitario]]*TablaVentas[[#This Row],[Cantidad]]</f>
        <v>2251.2800000000002</v>
      </c>
      <c r="J605" s="1">
        <f>TablaVentas[[#This Row],[Costo Unitario]]*TablaVentas[[#This Row],[Cantidad]]</f>
        <v>1551.14</v>
      </c>
      <c r="K605" s="1">
        <f>TablaVentas[[#This Row],[Total Venta]]-TablaVentas[[#This Row],[Total Costo]]</f>
        <v>700.1400000000001</v>
      </c>
    </row>
    <row r="606" spans="1:11" x14ac:dyDescent="0.25">
      <c r="A606" s="2">
        <v>45352</v>
      </c>
      <c r="B606" s="1" t="s">
        <v>12</v>
      </c>
      <c r="C606" s="1" t="s">
        <v>13</v>
      </c>
      <c r="D606" s="1" t="s">
        <v>17</v>
      </c>
      <c r="E606" s="1" t="s">
        <v>15</v>
      </c>
      <c r="F606" s="1">
        <v>10</v>
      </c>
      <c r="G606" s="1">
        <v>73.47</v>
      </c>
      <c r="H606" s="1">
        <v>40.630000000000003</v>
      </c>
      <c r="I606" s="1">
        <f>TablaVentas[[#This Row],[Precio Unitario]]*TablaVentas[[#This Row],[Cantidad]]</f>
        <v>734.7</v>
      </c>
      <c r="J606" s="1">
        <f>TablaVentas[[#This Row],[Costo Unitario]]*TablaVentas[[#This Row],[Cantidad]]</f>
        <v>406.3</v>
      </c>
      <c r="K606" s="1">
        <f>TablaVentas[[#This Row],[Total Venta]]-TablaVentas[[#This Row],[Total Costo]]</f>
        <v>328.40000000000003</v>
      </c>
    </row>
    <row r="607" spans="1:11" x14ac:dyDescent="0.25">
      <c r="A607" s="2">
        <v>45354</v>
      </c>
      <c r="B607" s="1" t="s">
        <v>16</v>
      </c>
      <c r="C607" s="1" t="s">
        <v>13</v>
      </c>
      <c r="D607" s="1" t="s">
        <v>31</v>
      </c>
      <c r="E607" s="1" t="s">
        <v>11</v>
      </c>
      <c r="F607" s="1">
        <v>6</v>
      </c>
      <c r="G607" s="1">
        <v>58.66</v>
      </c>
      <c r="H607" s="1">
        <v>33.96</v>
      </c>
      <c r="I607" s="1">
        <f>TablaVentas[[#This Row],[Precio Unitario]]*TablaVentas[[#This Row],[Cantidad]]</f>
        <v>351.96</v>
      </c>
      <c r="J607" s="1">
        <f>TablaVentas[[#This Row],[Costo Unitario]]*TablaVentas[[#This Row],[Cantidad]]</f>
        <v>203.76</v>
      </c>
      <c r="K607" s="1">
        <f>TablaVentas[[#This Row],[Total Venta]]-TablaVentas[[#This Row],[Total Costo]]</f>
        <v>148.19999999999999</v>
      </c>
    </row>
    <row r="608" spans="1:11" x14ac:dyDescent="0.25">
      <c r="A608" s="2">
        <v>45354</v>
      </c>
      <c r="B608" s="1" t="s">
        <v>8</v>
      </c>
      <c r="C608" s="1" t="s">
        <v>9</v>
      </c>
      <c r="D608" s="1" t="s">
        <v>25</v>
      </c>
      <c r="E608" s="1" t="s">
        <v>28</v>
      </c>
      <c r="F608" s="1">
        <v>10</v>
      </c>
      <c r="G608" s="1">
        <v>628.6</v>
      </c>
      <c r="H608" s="1">
        <v>448.14</v>
      </c>
      <c r="I608" s="1">
        <f>TablaVentas[[#This Row],[Precio Unitario]]*TablaVentas[[#This Row],[Cantidad]]</f>
        <v>6286</v>
      </c>
      <c r="J608" s="1">
        <f>TablaVentas[[#This Row],[Costo Unitario]]*TablaVentas[[#This Row],[Cantidad]]</f>
        <v>4481.3999999999996</v>
      </c>
      <c r="K608" s="1">
        <f>TablaVentas[[#This Row],[Total Venta]]-TablaVentas[[#This Row],[Total Costo]]</f>
        <v>1804.6000000000004</v>
      </c>
    </row>
    <row r="609" spans="1:11" x14ac:dyDescent="0.25">
      <c r="A609" s="2">
        <v>45354</v>
      </c>
      <c r="B609" s="1" t="s">
        <v>26</v>
      </c>
      <c r="C609" s="1" t="s">
        <v>19</v>
      </c>
      <c r="D609" s="1" t="s">
        <v>31</v>
      </c>
      <c r="E609" s="1" t="s">
        <v>11</v>
      </c>
      <c r="F609" s="1">
        <v>10</v>
      </c>
      <c r="G609" s="1">
        <v>45.51</v>
      </c>
      <c r="H609" s="1">
        <v>24.87</v>
      </c>
      <c r="I609" s="1">
        <f>TablaVentas[[#This Row],[Precio Unitario]]*TablaVentas[[#This Row],[Cantidad]]</f>
        <v>455.09999999999997</v>
      </c>
      <c r="J609" s="1">
        <f>TablaVentas[[#This Row],[Costo Unitario]]*TablaVentas[[#This Row],[Cantidad]]</f>
        <v>248.70000000000002</v>
      </c>
      <c r="K609" s="1">
        <f>TablaVentas[[#This Row],[Total Venta]]-TablaVentas[[#This Row],[Total Costo]]</f>
        <v>206.39999999999995</v>
      </c>
    </row>
    <row r="610" spans="1:11" x14ac:dyDescent="0.25">
      <c r="A610" s="2">
        <v>45355</v>
      </c>
      <c r="B610" s="1" t="s">
        <v>34</v>
      </c>
      <c r="C610" s="1" t="s">
        <v>13</v>
      </c>
      <c r="D610" s="1" t="s">
        <v>33</v>
      </c>
      <c r="E610" s="1" t="s">
        <v>11</v>
      </c>
      <c r="F610" s="1">
        <v>9</v>
      </c>
      <c r="G610" s="1">
        <v>259.76</v>
      </c>
      <c r="H610" s="1">
        <v>177.02</v>
      </c>
      <c r="I610" s="1">
        <f>TablaVentas[[#This Row],[Precio Unitario]]*TablaVentas[[#This Row],[Cantidad]]</f>
        <v>2337.84</v>
      </c>
      <c r="J610" s="1">
        <f>TablaVentas[[#This Row],[Costo Unitario]]*TablaVentas[[#This Row],[Cantidad]]</f>
        <v>1593.18</v>
      </c>
      <c r="K610" s="1">
        <f>TablaVentas[[#This Row],[Total Venta]]-TablaVentas[[#This Row],[Total Costo]]</f>
        <v>744.66000000000008</v>
      </c>
    </row>
    <row r="611" spans="1:11" x14ac:dyDescent="0.25">
      <c r="A611" s="2">
        <v>45359</v>
      </c>
      <c r="B611" s="1" t="s">
        <v>34</v>
      </c>
      <c r="C611" s="1" t="s">
        <v>13</v>
      </c>
      <c r="D611" s="1" t="s">
        <v>33</v>
      </c>
      <c r="E611" s="1" t="s">
        <v>20</v>
      </c>
      <c r="F611" s="1">
        <v>6</v>
      </c>
      <c r="G611" s="1">
        <v>321.22000000000003</v>
      </c>
      <c r="H611" s="1">
        <v>206.39</v>
      </c>
      <c r="I611" s="1">
        <f>TablaVentas[[#This Row],[Precio Unitario]]*TablaVentas[[#This Row],[Cantidad]]</f>
        <v>1927.3200000000002</v>
      </c>
      <c r="J611" s="1">
        <f>TablaVentas[[#This Row],[Costo Unitario]]*TablaVentas[[#This Row],[Cantidad]]</f>
        <v>1238.3399999999999</v>
      </c>
      <c r="K611" s="1">
        <f>TablaVentas[[#This Row],[Total Venta]]-TablaVentas[[#This Row],[Total Costo]]</f>
        <v>688.98000000000025</v>
      </c>
    </row>
    <row r="612" spans="1:11" x14ac:dyDescent="0.25">
      <c r="A612" s="2">
        <v>45359</v>
      </c>
      <c r="B612" s="1" t="s">
        <v>16</v>
      </c>
      <c r="C612" s="1" t="s">
        <v>13</v>
      </c>
      <c r="D612" s="1" t="s">
        <v>14</v>
      </c>
      <c r="E612" s="1" t="s">
        <v>28</v>
      </c>
      <c r="F612" s="1">
        <v>10</v>
      </c>
      <c r="G612" s="1">
        <v>53.49</v>
      </c>
      <c r="H612" s="1">
        <v>33.549999999999997</v>
      </c>
      <c r="I612" s="1">
        <f>TablaVentas[[#This Row],[Precio Unitario]]*TablaVentas[[#This Row],[Cantidad]]</f>
        <v>534.9</v>
      </c>
      <c r="J612" s="1">
        <f>TablaVentas[[#This Row],[Costo Unitario]]*TablaVentas[[#This Row],[Cantidad]]</f>
        <v>335.5</v>
      </c>
      <c r="K612" s="1">
        <f>TablaVentas[[#This Row],[Total Venta]]-TablaVentas[[#This Row],[Total Costo]]</f>
        <v>199.39999999999998</v>
      </c>
    </row>
    <row r="613" spans="1:11" x14ac:dyDescent="0.25">
      <c r="A613" s="2">
        <v>45359</v>
      </c>
      <c r="B613" s="1" t="s">
        <v>16</v>
      </c>
      <c r="C613" s="1" t="s">
        <v>13</v>
      </c>
      <c r="D613" s="1" t="s">
        <v>33</v>
      </c>
      <c r="E613" s="1" t="s">
        <v>20</v>
      </c>
      <c r="F613" s="1">
        <v>3</v>
      </c>
      <c r="G613" s="1">
        <v>61.39</v>
      </c>
      <c r="H613" s="1">
        <v>37.85</v>
      </c>
      <c r="I613" s="1">
        <f>TablaVentas[[#This Row],[Precio Unitario]]*TablaVentas[[#This Row],[Cantidad]]</f>
        <v>184.17000000000002</v>
      </c>
      <c r="J613" s="1">
        <f>TablaVentas[[#This Row],[Costo Unitario]]*TablaVentas[[#This Row],[Cantidad]]</f>
        <v>113.55000000000001</v>
      </c>
      <c r="K613" s="1">
        <f>TablaVentas[[#This Row],[Total Venta]]-TablaVentas[[#This Row],[Total Costo]]</f>
        <v>70.62</v>
      </c>
    </row>
    <row r="614" spans="1:11" x14ac:dyDescent="0.25">
      <c r="A614" s="2">
        <v>45360</v>
      </c>
      <c r="B614" s="1" t="s">
        <v>32</v>
      </c>
      <c r="C614" s="1" t="s">
        <v>30</v>
      </c>
      <c r="D614" s="1" t="s">
        <v>10</v>
      </c>
      <c r="E614" s="1" t="s">
        <v>15</v>
      </c>
      <c r="F614" s="1">
        <v>9</v>
      </c>
      <c r="G614" s="1">
        <v>314.76</v>
      </c>
      <c r="H614" s="1">
        <v>212.78</v>
      </c>
      <c r="I614" s="1">
        <f>TablaVentas[[#This Row],[Precio Unitario]]*TablaVentas[[#This Row],[Cantidad]]</f>
        <v>2832.84</v>
      </c>
      <c r="J614" s="1">
        <f>TablaVentas[[#This Row],[Costo Unitario]]*TablaVentas[[#This Row],[Cantidad]]</f>
        <v>1915.02</v>
      </c>
      <c r="K614" s="1">
        <f>TablaVentas[[#This Row],[Total Venta]]-TablaVentas[[#This Row],[Total Costo]]</f>
        <v>917.82000000000016</v>
      </c>
    </row>
    <row r="615" spans="1:11" x14ac:dyDescent="0.25">
      <c r="A615" s="2">
        <v>45361</v>
      </c>
      <c r="B615" s="1" t="s">
        <v>26</v>
      </c>
      <c r="C615" s="1" t="s">
        <v>19</v>
      </c>
      <c r="D615" s="1" t="s">
        <v>24</v>
      </c>
      <c r="E615" s="1" t="s">
        <v>11</v>
      </c>
      <c r="F615" s="1">
        <v>1</v>
      </c>
      <c r="G615" s="1">
        <v>42.6</v>
      </c>
      <c r="H615" s="1">
        <v>25.5</v>
      </c>
      <c r="I615" s="1">
        <f>TablaVentas[[#This Row],[Precio Unitario]]*TablaVentas[[#This Row],[Cantidad]]</f>
        <v>42.6</v>
      </c>
      <c r="J615" s="1">
        <f>TablaVentas[[#This Row],[Costo Unitario]]*TablaVentas[[#This Row],[Cantidad]]</f>
        <v>25.5</v>
      </c>
      <c r="K615" s="1">
        <f>TablaVentas[[#This Row],[Total Venta]]-TablaVentas[[#This Row],[Total Costo]]</f>
        <v>17.100000000000001</v>
      </c>
    </row>
    <row r="616" spans="1:11" x14ac:dyDescent="0.25">
      <c r="A616" s="2">
        <v>45361</v>
      </c>
      <c r="B616" s="1" t="s">
        <v>16</v>
      </c>
      <c r="C616" s="1" t="s">
        <v>13</v>
      </c>
      <c r="D616" s="1" t="s">
        <v>17</v>
      </c>
      <c r="E616" s="1" t="s">
        <v>15</v>
      </c>
      <c r="F616" s="1">
        <v>7</v>
      </c>
      <c r="G616" s="1">
        <v>57.61</v>
      </c>
      <c r="H616" s="1">
        <v>38</v>
      </c>
      <c r="I616" s="1">
        <f>TablaVentas[[#This Row],[Precio Unitario]]*TablaVentas[[#This Row],[Cantidad]]</f>
        <v>403.27</v>
      </c>
      <c r="J616" s="1">
        <f>TablaVentas[[#This Row],[Costo Unitario]]*TablaVentas[[#This Row],[Cantidad]]</f>
        <v>266</v>
      </c>
      <c r="K616" s="1">
        <f>TablaVentas[[#This Row],[Total Venta]]-TablaVentas[[#This Row],[Total Costo]]</f>
        <v>137.26999999999998</v>
      </c>
    </row>
    <row r="617" spans="1:11" x14ac:dyDescent="0.25">
      <c r="A617" s="2">
        <v>45361</v>
      </c>
      <c r="B617" s="1" t="s">
        <v>21</v>
      </c>
      <c r="C617" s="1" t="s">
        <v>19</v>
      </c>
      <c r="D617" s="1" t="s">
        <v>17</v>
      </c>
      <c r="E617" s="1" t="s">
        <v>20</v>
      </c>
      <c r="F617" s="1">
        <v>8</v>
      </c>
      <c r="G617" s="1">
        <v>90.83</v>
      </c>
      <c r="H617" s="1">
        <v>47.61</v>
      </c>
      <c r="I617" s="1">
        <f>TablaVentas[[#This Row],[Precio Unitario]]*TablaVentas[[#This Row],[Cantidad]]</f>
        <v>726.64</v>
      </c>
      <c r="J617" s="1">
        <f>TablaVentas[[#This Row],[Costo Unitario]]*TablaVentas[[#This Row],[Cantidad]]</f>
        <v>380.88</v>
      </c>
      <c r="K617" s="1">
        <f>TablaVentas[[#This Row],[Total Venta]]-TablaVentas[[#This Row],[Total Costo]]</f>
        <v>345.76</v>
      </c>
    </row>
    <row r="618" spans="1:11" x14ac:dyDescent="0.25">
      <c r="A618" s="2">
        <v>45363</v>
      </c>
      <c r="B618" s="1" t="s">
        <v>26</v>
      </c>
      <c r="C618" s="1" t="s">
        <v>19</v>
      </c>
      <c r="D618" s="1" t="s">
        <v>25</v>
      </c>
      <c r="E618" s="1" t="s">
        <v>11</v>
      </c>
      <c r="F618" s="1">
        <v>8</v>
      </c>
      <c r="G618" s="1">
        <v>44.76</v>
      </c>
      <c r="H618" s="1">
        <v>23.2</v>
      </c>
      <c r="I618" s="1">
        <f>TablaVentas[[#This Row],[Precio Unitario]]*TablaVentas[[#This Row],[Cantidad]]</f>
        <v>358.08</v>
      </c>
      <c r="J618" s="1">
        <f>TablaVentas[[#This Row],[Costo Unitario]]*TablaVentas[[#This Row],[Cantidad]]</f>
        <v>185.6</v>
      </c>
      <c r="K618" s="1">
        <f>TablaVentas[[#This Row],[Total Venta]]-TablaVentas[[#This Row],[Total Costo]]</f>
        <v>172.48</v>
      </c>
    </row>
    <row r="619" spans="1:11" x14ac:dyDescent="0.25">
      <c r="A619" s="2">
        <v>45363</v>
      </c>
      <c r="B619" s="1" t="s">
        <v>23</v>
      </c>
      <c r="C619" s="1" t="s">
        <v>9</v>
      </c>
      <c r="D619" s="1" t="s">
        <v>27</v>
      </c>
      <c r="E619" s="1" t="s">
        <v>11</v>
      </c>
      <c r="F619" s="1">
        <v>1</v>
      </c>
      <c r="G619" s="1">
        <v>80.34</v>
      </c>
      <c r="H619" s="1">
        <v>41.07</v>
      </c>
      <c r="I619" s="1">
        <f>TablaVentas[[#This Row],[Precio Unitario]]*TablaVentas[[#This Row],[Cantidad]]</f>
        <v>80.34</v>
      </c>
      <c r="J619" s="1">
        <f>TablaVentas[[#This Row],[Costo Unitario]]*TablaVentas[[#This Row],[Cantidad]]</f>
        <v>41.07</v>
      </c>
      <c r="K619" s="1">
        <f>TablaVentas[[#This Row],[Total Venta]]-TablaVentas[[#This Row],[Total Costo]]</f>
        <v>39.270000000000003</v>
      </c>
    </row>
    <row r="620" spans="1:11" x14ac:dyDescent="0.25">
      <c r="A620" s="2">
        <v>45364</v>
      </c>
      <c r="B620" s="1" t="s">
        <v>34</v>
      </c>
      <c r="C620" s="1" t="s">
        <v>13</v>
      </c>
      <c r="D620" s="1" t="s">
        <v>33</v>
      </c>
      <c r="E620" s="1" t="s">
        <v>22</v>
      </c>
      <c r="F620" s="1">
        <v>9</v>
      </c>
      <c r="G620" s="1">
        <v>265.33</v>
      </c>
      <c r="H620" s="1">
        <v>203.87</v>
      </c>
      <c r="I620" s="1">
        <f>TablaVentas[[#This Row],[Precio Unitario]]*TablaVentas[[#This Row],[Cantidad]]</f>
        <v>2387.9699999999998</v>
      </c>
      <c r="J620" s="1">
        <f>TablaVentas[[#This Row],[Costo Unitario]]*TablaVentas[[#This Row],[Cantidad]]</f>
        <v>1834.83</v>
      </c>
      <c r="K620" s="1">
        <f>TablaVentas[[#This Row],[Total Venta]]-TablaVentas[[#This Row],[Total Costo]]</f>
        <v>553.13999999999987</v>
      </c>
    </row>
    <row r="621" spans="1:11" x14ac:dyDescent="0.25">
      <c r="A621" s="2">
        <v>45365</v>
      </c>
      <c r="B621" s="1" t="s">
        <v>26</v>
      </c>
      <c r="C621" s="1" t="s">
        <v>19</v>
      </c>
      <c r="D621" s="1" t="s">
        <v>31</v>
      </c>
      <c r="E621" s="1" t="s">
        <v>28</v>
      </c>
      <c r="F621" s="1">
        <v>4</v>
      </c>
      <c r="G621" s="1">
        <v>45.08</v>
      </c>
      <c r="H621" s="1">
        <v>24.17</v>
      </c>
      <c r="I621" s="1">
        <f>TablaVentas[[#This Row],[Precio Unitario]]*TablaVentas[[#This Row],[Cantidad]]</f>
        <v>180.32</v>
      </c>
      <c r="J621" s="1">
        <f>TablaVentas[[#This Row],[Costo Unitario]]*TablaVentas[[#This Row],[Cantidad]]</f>
        <v>96.68</v>
      </c>
      <c r="K621" s="1">
        <f>TablaVentas[[#This Row],[Total Venta]]-TablaVentas[[#This Row],[Total Costo]]</f>
        <v>83.639999999999986</v>
      </c>
    </row>
    <row r="622" spans="1:11" x14ac:dyDescent="0.25">
      <c r="A622" s="2">
        <v>45366</v>
      </c>
      <c r="B622" s="1" t="s">
        <v>8</v>
      </c>
      <c r="C622" s="1" t="s">
        <v>9</v>
      </c>
      <c r="D622" s="1" t="s">
        <v>10</v>
      </c>
      <c r="E622" s="1" t="s">
        <v>22</v>
      </c>
      <c r="F622" s="1">
        <v>8</v>
      </c>
      <c r="G622" s="1">
        <v>732.4</v>
      </c>
      <c r="H622" s="1">
        <v>435.93</v>
      </c>
      <c r="I622" s="1">
        <f>TablaVentas[[#This Row],[Precio Unitario]]*TablaVentas[[#This Row],[Cantidad]]</f>
        <v>5859.2</v>
      </c>
      <c r="J622" s="1">
        <f>TablaVentas[[#This Row],[Costo Unitario]]*TablaVentas[[#This Row],[Cantidad]]</f>
        <v>3487.44</v>
      </c>
      <c r="K622" s="1">
        <f>TablaVentas[[#This Row],[Total Venta]]-TablaVentas[[#This Row],[Total Costo]]</f>
        <v>2371.7599999999998</v>
      </c>
    </row>
    <row r="623" spans="1:11" x14ac:dyDescent="0.25">
      <c r="A623" s="2">
        <v>45367</v>
      </c>
      <c r="B623" s="1" t="s">
        <v>18</v>
      </c>
      <c r="C623" s="1" t="s">
        <v>19</v>
      </c>
      <c r="D623" s="1" t="s">
        <v>31</v>
      </c>
      <c r="E623" s="1" t="s">
        <v>15</v>
      </c>
      <c r="F623" s="1">
        <v>3</v>
      </c>
      <c r="G623" s="1">
        <v>1163.55</v>
      </c>
      <c r="H623" s="1">
        <v>864.27</v>
      </c>
      <c r="I623" s="1">
        <f>TablaVentas[[#This Row],[Precio Unitario]]*TablaVentas[[#This Row],[Cantidad]]</f>
        <v>3490.6499999999996</v>
      </c>
      <c r="J623" s="1">
        <f>TablaVentas[[#This Row],[Costo Unitario]]*TablaVentas[[#This Row],[Cantidad]]</f>
        <v>2592.81</v>
      </c>
      <c r="K623" s="1">
        <f>TablaVentas[[#This Row],[Total Venta]]-TablaVentas[[#This Row],[Total Costo]]</f>
        <v>897.83999999999969</v>
      </c>
    </row>
    <row r="624" spans="1:11" x14ac:dyDescent="0.25">
      <c r="A624" s="2">
        <v>45367</v>
      </c>
      <c r="B624" s="1" t="s">
        <v>34</v>
      </c>
      <c r="C624" s="1" t="s">
        <v>13</v>
      </c>
      <c r="D624" s="1" t="s">
        <v>31</v>
      </c>
      <c r="E624" s="1" t="s">
        <v>22</v>
      </c>
      <c r="F624" s="1">
        <v>1</v>
      </c>
      <c r="G624" s="1">
        <v>260.32</v>
      </c>
      <c r="H624" s="1">
        <v>201.49</v>
      </c>
      <c r="I624" s="1">
        <f>TablaVentas[[#This Row],[Precio Unitario]]*TablaVentas[[#This Row],[Cantidad]]</f>
        <v>260.32</v>
      </c>
      <c r="J624" s="1">
        <f>TablaVentas[[#This Row],[Costo Unitario]]*TablaVentas[[#This Row],[Cantidad]]</f>
        <v>201.49</v>
      </c>
      <c r="K624" s="1">
        <f>TablaVentas[[#This Row],[Total Venta]]-TablaVentas[[#This Row],[Total Costo]]</f>
        <v>58.829999999999984</v>
      </c>
    </row>
    <row r="625" spans="1:11" x14ac:dyDescent="0.25">
      <c r="A625" s="2">
        <v>45368</v>
      </c>
      <c r="B625" s="1" t="s">
        <v>8</v>
      </c>
      <c r="C625" s="1" t="s">
        <v>9</v>
      </c>
      <c r="D625" s="1" t="s">
        <v>17</v>
      </c>
      <c r="E625" s="1" t="s">
        <v>15</v>
      </c>
      <c r="F625" s="1">
        <v>3</v>
      </c>
      <c r="G625" s="1">
        <v>707.34</v>
      </c>
      <c r="H625" s="1">
        <v>476.21</v>
      </c>
      <c r="I625" s="1">
        <f>TablaVentas[[#This Row],[Precio Unitario]]*TablaVentas[[#This Row],[Cantidad]]</f>
        <v>2122.02</v>
      </c>
      <c r="J625" s="1">
        <f>TablaVentas[[#This Row],[Costo Unitario]]*TablaVentas[[#This Row],[Cantidad]]</f>
        <v>1428.6299999999999</v>
      </c>
      <c r="K625" s="1">
        <f>TablaVentas[[#This Row],[Total Venta]]-TablaVentas[[#This Row],[Total Costo]]</f>
        <v>693.3900000000001</v>
      </c>
    </row>
    <row r="626" spans="1:11" x14ac:dyDescent="0.25">
      <c r="A626" s="2">
        <v>45368</v>
      </c>
      <c r="B626" s="1" t="s">
        <v>32</v>
      </c>
      <c r="C626" s="1" t="s">
        <v>30</v>
      </c>
      <c r="D626" s="1" t="s">
        <v>10</v>
      </c>
      <c r="E626" s="1" t="s">
        <v>20</v>
      </c>
      <c r="F626" s="1">
        <v>6</v>
      </c>
      <c r="G626" s="1">
        <v>359.67</v>
      </c>
      <c r="H626" s="1">
        <v>229.61</v>
      </c>
      <c r="I626" s="1">
        <f>TablaVentas[[#This Row],[Precio Unitario]]*TablaVentas[[#This Row],[Cantidad]]</f>
        <v>2158.02</v>
      </c>
      <c r="J626" s="1">
        <f>TablaVentas[[#This Row],[Costo Unitario]]*TablaVentas[[#This Row],[Cantidad]]</f>
        <v>1377.66</v>
      </c>
      <c r="K626" s="1">
        <f>TablaVentas[[#This Row],[Total Venta]]-TablaVentas[[#This Row],[Total Costo]]</f>
        <v>780.3599999999999</v>
      </c>
    </row>
    <row r="627" spans="1:11" x14ac:dyDescent="0.25">
      <c r="A627" s="2">
        <v>45368</v>
      </c>
      <c r="B627" s="1" t="s">
        <v>29</v>
      </c>
      <c r="C627" s="1" t="s">
        <v>30</v>
      </c>
      <c r="D627" s="1" t="s">
        <v>31</v>
      </c>
      <c r="E627" s="1" t="s">
        <v>15</v>
      </c>
      <c r="F627" s="1">
        <v>2</v>
      </c>
      <c r="G627" s="1">
        <v>499.88</v>
      </c>
      <c r="H627" s="1">
        <v>312.42</v>
      </c>
      <c r="I627" s="1">
        <f>TablaVentas[[#This Row],[Precio Unitario]]*TablaVentas[[#This Row],[Cantidad]]</f>
        <v>999.76</v>
      </c>
      <c r="J627" s="1">
        <f>TablaVentas[[#This Row],[Costo Unitario]]*TablaVentas[[#This Row],[Cantidad]]</f>
        <v>624.84</v>
      </c>
      <c r="K627" s="1">
        <f>TablaVentas[[#This Row],[Total Venta]]-TablaVentas[[#This Row],[Total Costo]]</f>
        <v>374.91999999999996</v>
      </c>
    </row>
    <row r="628" spans="1:11" x14ac:dyDescent="0.25">
      <c r="A628" s="2">
        <v>45369</v>
      </c>
      <c r="B628" s="1" t="s">
        <v>21</v>
      </c>
      <c r="C628" s="1" t="s">
        <v>19</v>
      </c>
      <c r="D628" s="1" t="s">
        <v>10</v>
      </c>
      <c r="E628" s="1" t="s">
        <v>28</v>
      </c>
      <c r="F628" s="1">
        <v>9</v>
      </c>
      <c r="G628" s="1">
        <v>78.14</v>
      </c>
      <c r="H628" s="1">
        <v>52.44</v>
      </c>
      <c r="I628" s="1">
        <f>TablaVentas[[#This Row],[Precio Unitario]]*TablaVentas[[#This Row],[Cantidad]]</f>
        <v>703.26</v>
      </c>
      <c r="J628" s="1">
        <f>TablaVentas[[#This Row],[Costo Unitario]]*TablaVentas[[#This Row],[Cantidad]]</f>
        <v>471.96</v>
      </c>
      <c r="K628" s="1">
        <f>TablaVentas[[#This Row],[Total Venta]]-TablaVentas[[#This Row],[Total Costo]]</f>
        <v>231.3</v>
      </c>
    </row>
    <row r="629" spans="1:11" x14ac:dyDescent="0.25">
      <c r="A629" s="2">
        <v>45370</v>
      </c>
      <c r="B629" s="1" t="s">
        <v>32</v>
      </c>
      <c r="C629" s="1" t="s">
        <v>30</v>
      </c>
      <c r="D629" s="1" t="s">
        <v>10</v>
      </c>
      <c r="E629" s="1" t="s">
        <v>28</v>
      </c>
      <c r="F629" s="1">
        <v>6</v>
      </c>
      <c r="G629" s="1">
        <v>277.64999999999998</v>
      </c>
      <c r="H629" s="1">
        <v>224.29</v>
      </c>
      <c r="I629" s="1">
        <f>TablaVentas[[#This Row],[Precio Unitario]]*TablaVentas[[#This Row],[Cantidad]]</f>
        <v>1665.8999999999999</v>
      </c>
      <c r="J629" s="1">
        <f>TablaVentas[[#This Row],[Costo Unitario]]*TablaVentas[[#This Row],[Cantidad]]</f>
        <v>1345.74</v>
      </c>
      <c r="K629" s="1">
        <f>TablaVentas[[#This Row],[Total Venta]]-TablaVentas[[#This Row],[Total Costo]]</f>
        <v>320.15999999999985</v>
      </c>
    </row>
    <row r="630" spans="1:11" x14ac:dyDescent="0.25">
      <c r="A630" s="2">
        <v>45371</v>
      </c>
      <c r="B630" s="1" t="s">
        <v>29</v>
      </c>
      <c r="C630" s="1" t="s">
        <v>30</v>
      </c>
      <c r="D630" s="1" t="s">
        <v>14</v>
      </c>
      <c r="E630" s="1" t="s">
        <v>28</v>
      </c>
      <c r="F630" s="1">
        <v>8</v>
      </c>
      <c r="G630" s="1">
        <v>389.97</v>
      </c>
      <c r="H630" s="1">
        <v>280.24</v>
      </c>
      <c r="I630" s="1">
        <f>TablaVentas[[#This Row],[Precio Unitario]]*TablaVentas[[#This Row],[Cantidad]]</f>
        <v>3119.76</v>
      </c>
      <c r="J630" s="1">
        <f>TablaVentas[[#This Row],[Costo Unitario]]*TablaVentas[[#This Row],[Cantidad]]</f>
        <v>2241.92</v>
      </c>
      <c r="K630" s="1">
        <f>TablaVentas[[#This Row],[Total Venta]]-TablaVentas[[#This Row],[Total Costo]]</f>
        <v>877.84000000000015</v>
      </c>
    </row>
    <row r="631" spans="1:11" x14ac:dyDescent="0.25">
      <c r="A631" s="2">
        <v>45371</v>
      </c>
      <c r="B631" s="1" t="s">
        <v>18</v>
      </c>
      <c r="C631" s="1" t="s">
        <v>19</v>
      </c>
      <c r="D631" s="1" t="s">
        <v>33</v>
      </c>
      <c r="E631" s="1" t="s">
        <v>15</v>
      </c>
      <c r="F631" s="1">
        <v>4</v>
      </c>
      <c r="G631" s="1">
        <v>1100.24</v>
      </c>
      <c r="H631" s="1">
        <v>822.84</v>
      </c>
      <c r="I631" s="1">
        <f>TablaVentas[[#This Row],[Precio Unitario]]*TablaVentas[[#This Row],[Cantidad]]</f>
        <v>4400.96</v>
      </c>
      <c r="J631" s="1">
        <f>TablaVentas[[#This Row],[Costo Unitario]]*TablaVentas[[#This Row],[Cantidad]]</f>
        <v>3291.36</v>
      </c>
      <c r="K631" s="1">
        <f>TablaVentas[[#This Row],[Total Venta]]-TablaVentas[[#This Row],[Total Costo]]</f>
        <v>1109.5999999999999</v>
      </c>
    </row>
    <row r="632" spans="1:11" x14ac:dyDescent="0.25">
      <c r="A632" s="2">
        <v>45372</v>
      </c>
      <c r="B632" s="1" t="s">
        <v>32</v>
      </c>
      <c r="C632" s="1" t="s">
        <v>30</v>
      </c>
      <c r="D632" s="1" t="s">
        <v>25</v>
      </c>
      <c r="E632" s="1" t="s">
        <v>22</v>
      </c>
      <c r="F632" s="1">
        <v>6</v>
      </c>
      <c r="G632" s="1">
        <v>361.43</v>
      </c>
      <c r="H632" s="1">
        <v>210.72</v>
      </c>
      <c r="I632" s="1">
        <f>TablaVentas[[#This Row],[Precio Unitario]]*TablaVentas[[#This Row],[Cantidad]]</f>
        <v>2168.58</v>
      </c>
      <c r="J632" s="1">
        <f>TablaVentas[[#This Row],[Costo Unitario]]*TablaVentas[[#This Row],[Cantidad]]</f>
        <v>1264.32</v>
      </c>
      <c r="K632" s="1">
        <f>TablaVentas[[#This Row],[Total Venta]]-TablaVentas[[#This Row],[Total Costo]]</f>
        <v>904.26</v>
      </c>
    </row>
    <row r="633" spans="1:11" x14ac:dyDescent="0.25">
      <c r="A633" s="2">
        <v>45374</v>
      </c>
      <c r="B633" s="1" t="s">
        <v>23</v>
      </c>
      <c r="C633" s="1" t="s">
        <v>9</v>
      </c>
      <c r="D633" s="1" t="s">
        <v>17</v>
      </c>
      <c r="E633" s="1" t="s">
        <v>28</v>
      </c>
      <c r="F633" s="1">
        <v>3</v>
      </c>
      <c r="G633" s="1">
        <v>77.08</v>
      </c>
      <c r="H633" s="1">
        <v>46.47</v>
      </c>
      <c r="I633" s="1">
        <f>TablaVentas[[#This Row],[Precio Unitario]]*TablaVentas[[#This Row],[Cantidad]]</f>
        <v>231.24</v>
      </c>
      <c r="J633" s="1">
        <f>TablaVentas[[#This Row],[Costo Unitario]]*TablaVentas[[#This Row],[Cantidad]]</f>
        <v>139.41</v>
      </c>
      <c r="K633" s="1">
        <f>TablaVentas[[#This Row],[Total Venta]]-TablaVentas[[#This Row],[Total Costo]]</f>
        <v>91.830000000000013</v>
      </c>
    </row>
    <row r="634" spans="1:11" x14ac:dyDescent="0.25">
      <c r="A634" s="2">
        <v>45377</v>
      </c>
      <c r="B634" s="1" t="s">
        <v>26</v>
      </c>
      <c r="C634" s="1" t="s">
        <v>19</v>
      </c>
      <c r="D634" s="1" t="s">
        <v>17</v>
      </c>
      <c r="E634" s="1" t="s">
        <v>15</v>
      </c>
      <c r="F634" s="1">
        <v>8</v>
      </c>
      <c r="G634" s="1">
        <v>43.1</v>
      </c>
      <c r="H634" s="1">
        <v>23.06</v>
      </c>
      <c r="I634" s="1">
        <f>TablaVentas[[#This Row],[Precio Unitario]]*TablaVentas[[#This Row],[Cantidad]]</f>
        <v>344.8</v>
      </c>
      <c r="J634" s="1">
        <f>TablaVentas[[#This Row],[Costo Unitario]]*TablaVentas[[#This Row],[Cantidad]]</f>
        <v>184.48</v>
      </c>
      <c r="K634" s="1">
        <f>TablaVentas[[#This Row],[Total Venta]]-TablaVentas[[#This Row],[Total Costo]]</f>
        <v>160.32000000000002</v>
      </c>
    </row>
    <row r="635" spans="1:11" x14ac:dyDescent="0.25">
      <c r="A635" s="2">
        <v>45379</v>
      </c>
      <c r="B635" s="1" t="s">
        <v>32</v>
      </c>
      <c r="C635" s="1" t="s">
        <v>30</v>
      </c>
      <c r="D635" s="1" t="s">
        <v>17</v>
      </c>
      <c r="E635" s="1" t="s">
        <v>28</v>
      </c>
      <c r="F635" s="1">
        <v>3</v>
      </c>
      <c r="G635" s="1">
        <v>280.56</v>
      </c>
      <c r="H635" s="1">
        <v>218.11</v>
      </c>
      <c r="I635" s="1">
        <f>TablaVentas[[#This Row],[Precio Unitario]]*TablaVentas[[#This Row],[Cantidad]]</f>
        <v>841.68000000000006</v>
      </c>
      <c r="J635" s="1">
        <f>TablaVentas[[#This Row],[Costo Unitario]]*TablaVentas[[#This Row],[Cantidad]]</f>
        <v>654.33000000000004</v>
      </c>
      <c r="K635" s="1">
        <f>TablaVentas[[#This Row],[Total Venta]]-TablaVentas[[#This Row],[Total Costo]]</f>
        <v>187.35000000000002</v>
      </c>
    </row>
    <row r="636" spans="1:11" x14ac:dyDescent="0.25">
      <c r="A636" s="2">
        <v>45379</v>
      </c>
      <c r="B636" s="1" t="s">
        <v>34</v>
      </c>
      <c r="C636" s="1" t="s">
        <v>13</v>
      </c>
      <c r="D636" s="1" t="s">
        <v>14</v>
      </c>
      <c r="E636" s="1" t="s">
        <v>11</v>
      </c>
      <c r="F636" s="1">
        <v>1</v>
      </c>
      <c r="G636" s="1">
        <v>267.44</v>
      </c>
      <c r="H636" s="1">
        <v>171.6</v>
      </c>
      <c r="I636" s="1">
        <f>TablaVentas[[#This Row],[Precio Unitario]]*TablaVentas[[#This Row],[Cantidad]]</f>
        <v>267.44</v>
      </c>
      <c r="J636" s="1">
        <f>TablaVentas[[#This Row],[Costo Unitario]]*TablaVentas[[#This Row],[Cantidad]]</f>
        <v>171.6</v>
      </c>
      <c r="K636" s="1">
        <f>TablaVentas[[#This Row],[Total Venta]]-TablaVentas[[#This Row],[Total Costo]]</f>
        <v>95.84</v>
      </c>
    </row>
    <row r="637" spans="1:11" x14ac:dyDescent="0.25">
      <c r="A637" s="2">
        <v>45381</v>
      </c>
      <c r="B637" s="1" t="s">
        <v>16</v>
      </c>
      <c r="C637" s="1" t="s">
        <v>13</v>
      </c>
      <c r="D637" s="1" t="s">
        <v>27</v>
      </c>
      <c r="E637" s="1" t="s">
        <v>20</v>
      </c>
      <c r="F637" s="1">
        <v>3</v>
      </c>
      <c r="G637" s="1">
        <v>56.67</v>
      </c>
      <c r="H637" s="1">
        <v>38.380000000000003</v>
      </c>
      <c r="I637" s="1">
        <f>TablaVentas[[#This Row],[Precio Unitario]]*TablaVentas[[#This Row],[Cantidad]]</f>
        <v>170.01</v>
      </c>
      <c r="J637" s="1">
        <f>TablaVentas[[#This Row],[Costo Unitario]]*TablaVentas[[#This Row],[Cantidad]]</f>
        <v>115.14000000000001</v>
      </c>
      <c r="K637" s="1">
        <f>TablaVentas[[#This Row],[Total Venta]]-TablaVentas[[#This Row],[Total Costo]]</f>
        <v>54.869999999999976</v>
      </c>
    </row>
    <row r="638" spans="1:11" x14ac:dyDescent="0.25">
      <c r="A638" s="2">
        <v>45382</v>
      </c>
      <c r="B638" s="1" t="s">
        <v>23</v>
      </c>
      <c r="C638" s="1" t="s">
        <v>9</v>
      </c>
      <c r="D638" s="1" t="s">
        <v>10</v>
      </c>
      <c r="E638" s="1" t="s">
        <v>22</v>
      </c>
      <c r="F638" s="1">
        <v>2</v>
      </c>
      <c r="G638" s="1">
        <v>72.05</v>
      </c>
      <c r="H638" s="1">
        <v>47.87</v>
      </c>
      <c r="I638" s="1">
        <f>TablaVentas[[#This Row],[Precio Unitario]]*TablaVentas[[#This Row],[Cantidad]]</f>
        <v>144.1</v>
      </c>
      <c r="J638" s="1">
        <f>TablaVentas[[#This Row],[Costo Unitario]]*TablaVentas[[#This Row],[Cantidad]]</f>
        <v>95.74</v>
      </c>
      <c r="K638" s="1">
        <f>TablaVentas[[#This Row],[Total Venta]]-TablaVentas[[#This Row],[Total Costo]]</f>
        <v>48.36</v>
      </c>
    </row>
    <row r="639" spans="1:11" x14ac:dyDescent="0.25">
      <c r="A639" s="2">
        <v>45382</v>
      </c>
      <c r="B639" s="1" t="s">
        <v>26</v>
      </c>
      <c r="C639" s="1" t="s">
        <v>19</v>
      </c>
      <c r="D639" s="1" t="s">
        <v>33</v>
      </c>
      <c r="E639" s="1" t="s">
        <v>11</v>
      </c>
      <c r="F639" s="1">
        <v>4</v>
      </c>
      <c r="G639" s="1">
        <v>39.17</v>
      </c>
      <c r="H639" s="1">
        <v>25.83</v>
      </c>
      <c r="I639" s="1">
        <f>TablaVentas[[#This Row],[Precio Unitario]]*TablaVentas[[#This Row],[Cantidad]]</f>
        <v>156.68</v>
      </c>
      <c r="J639" s="1">
        <f>TablaVentas[[#This Row],[Costo Unitario]]*TablaVentas[[#This Row],[Cantidad]]</f>
        <v>103.32</v>
      </c>
      <c r="K639" s="1">
        <f>TablaVentas[[#This Row],[Total Venta]]-TablaVentas[[#This Row],[Total Costo]]</f>
        <v>53.360000000000014</v>
      </c>
    </row>
    <row r="640" spans="1:11" x14ac:dyDescent="0.25">
      <c r="A640" s="2">
        <v>45383</v>
      </c>
      <c r="B640" s="1" t="s">
        <v>23</v>
      </c>
      <c r="C640" s="1" t="s">
        <v>9</v>
      </c>
      <c r="D640" s="1" t="s">
        <v>14</v>
      </c>
      <c r="E640" s="1" t="s">
        <v>28</v>
      </c>
      <c r="F640" s="1">
        <v>2</v>
      </c>
      <c r="G640" s="1">
        <v>85.89</v>
      </c>
      <c r="H640" s="1">
        <v>46.32</v>
      </c>
      <c r="I640" s="1">
        <f>TablaVentas[[#This Row],[Precio Unitario]]*TablaVentas[[#This Row],[Cantidad]]</f>
        <v>171.78</v>
      </c>
      <c r="J640" s="1">
        <f>TablaVentas[[#This Row],[Costo Unitario]]*TablaVentas[[#This Row],[Cantidad]]</f>
        <v>92.64</v>
      </c>
      <c r="K640" s="1">
        <f>TablaVentas[[#This Row],[Total Venta]]-TablaVentas[[#This Row],[Total Costo]]</f>
        <v>79.14</v>
      </c>
    </row>
    <row r="641" spans="1:11" x14ac:dyDescent="0.25">
      <c r="A641" s="2">
        <v>45383</v>
      </c>
      <c r="B641" s="1" t="s">
        <v>32</v>
      </c>
      <c r="C641" s="1" t="s">
        <v>30</v>
      </c>
      <c r="D641" s="1" t="s">
        <v>24</v>
      </c>
      <c r="E641" s="1" t="s">
        <v>28</v>
      </c>
      <c r="F641" s="1">
        <v>7</v>
      </c>
      <c r="G641" s="1">
        <v>359.19</v>
      </c>
      <c r="H641" s="1">
        <v>196.14</v>
      </c>
      <c r="I641" s="1">
        <f>TablaVentas[[#This Row],[Precio Unitario]]*TablaVentas[[#This Row],[Cantidad]]</f>
        <v>2514.33</v>
      </c>
      <c r="J641" s="1">
        <f>TablaVentas[[#This Row],[Costo Unitario]]*TablaVentas[[#This Row],[Cantidad]]</f>
        <v>1372.98</v>
      </c>
      <c r="K641" s="1">
        <f>TablaVentas[[#This Row],[Total Venta]]-TablaVentas[[#This Row],[Total Costo]]</f>
        <v>1141.3499999999999</v>
      </c>
    </row>
    <row r="642" spans="1:11" x14ac:dyDescent="0.25">
      <c r="A642" s="2">
        <v>45383</v>
      </c>
      <c r="B642" s="1" t="s">
        <v>29</v>
      </c>
      <c r="C642" s="1" t="s">
        <v>30</v>
      </c>
      <c r="D642" s="1" t="s">
        <v>10</v>
      </c>
      <c r="E642" s="1" t="s">
        <v>20</v>
      </c>
      <c r="F642" s="1">
        <v>7</v>
      </c>
      <c r="G642" s="1">
        <v>478.87</v>
      </c>
      <c r="H642" s="1">
        <v>336.57</v>
      </c>
      <c r="I642" s="1">
        <f>TablaVentas[[#This Row],[Precio Unitario]]*TablaVentas[[#This Row],[Cantidad]]</f>
        <v>3352.09</v>
      </c>
      <c r="J642" s="1">
        <f>TablaVentas[[#This Row],[Costo Unitario]]*TablaVentas[[#This Row],[Cantidad]]</f>
        <v>2355.9899999999998</v>
      </c>
      <c r="K642" s="1">
        <f>TablaVentas[[#This Row],[Total Venta]]-TablaVentas[[#This Row],[Total Costo]]</f>
        <v>996.10000000000036</v>
      </c>
    </row>
    <row r="643" spans="1:11" x14ac:dyDescent="0.25">
      <c r="A643" s="2">
        <v>45384</v>
      </c>
      <c r="B643" s="1" t="s">
        <v>16</v>
      </c>
      <c r="C643" s="1" t="s">
        <v>13</v>
      </c>
      <c r="D643" s="1" t="s">
        <v>17</v>
      </c>
      <c r="E643" s="1" t="s">
        <v>20</v>
      </c>
      <c r="F643" s="1">
        <v>7</v>
      </c>
      <c r="G643" s="1">
        <v>49.89</v>
      </c>
      <c r="H643" s="1">
        <v>37.81</v>
      </c>
      <c r="I643" s="1">
        <f>TablaVentas[[#This Row],[Precio Unitario]]*TablaVentas[[#This Row],[Cantidad]]</f>
        <v>349.23</v>
      </c>
      <c r="J643" s="1">
        <f>TablaVentas[[#This Row],[Costo Unitario]]*TablaVentas[[#This Row],[Cantidad]]</f>
        <v>264.67</v>
      </c>
      <c r="K643" s="1">
        <f>TablaVentas[[#This Row],[Total Venta]]-TablaVentas[[#This Row],[Total Costo]]</f>
        <v>84.56</v>
      </c>
    </row>
    <row r="644" spans="1:11" x14ac:dyDescent="0.25">
      <c r="A644" s="2">
        <v>45384</v>
      </c>
      <c r="B644" s="1" t="s">
        <v>23</v>
      </c>
      <c r="C644" s="1" t="s">
        <v>9</v>
      </c>
      <c r="D644" s="1" t="s">
        <v>33</v>
      </c>
      <c r="E644" s="1" t="s">
        <v>11</v>
      </c>
      <c r="F644" s="1">
        <v>9</v>
      </c>
      <c r="G644" s="1">
        <v>86.21</v>
      </c>
      <c r="H644" s="1">
        <v>43.71</v>
      </c>
      <c r="I644" s="1">
        <f>TablaVentas[[#This Row],[Precio Unitario]]*TablaVentas[[#This Row],[Cantidad]]</f>
        <v>775.89</v>
      </c>
      <c r="J644" s="1">
        <f>TablaVentas[[#This Row],[Costo Unitario]]*TablaVentas[[#This Row],[Cantidad]]</f>
        <v>393.39</v>
      </c>
      <c r="K644" s="1">
        <f>TablaVentas[[#This Row],[Total Venta]]-TablaVentas[[#This Row],[Total Costo]]</f>
        <v>382.5</v>
      </c>
    </row>
    <row r="645" spans="1:11" x14ac:dyDescent="0.25">
      <c r="A645" s="2">
        <v>45384</v>
      </c>
      <c r="B645" s="1" t="s">
        <v>21</v>
      </c>
      <c r="C645" s="1" t="s">
        <v>19</v>
      </c>
      <c r="D645" s="1" t="s">
        <v>25</v>
      </c>
      <c r="E645" s="1" t="s">
        <v>22</v>
      </c>
      <c r="F645" s="1">
        <v>4</v>
      </c>
      <c r="G645" s="1">
        <v>78.37</v>
      </c>
      <c r="H645" s="1">
        <v>49.14</v>
      </c>
      <c r="I645" s="1">
        <f>TablaVentas[[#This Row],[Precio Unitario]]*TablaVentas[[#This Row],[Cantidad]]</f>
        <v>313.48</v>
      </c>
      <c r="J645" s="1">
        <f>TablaVentas[[#This Row],[Costo Unitario]]*TablaVentas[[#This Row],[Cantidad]]</f>
        <v>196.56</v>
      </c>
      <c r="K645" s="1">
        <f>TablaVentas[[#This Row],[Total Venta]]-TablaVentas[[#This Row],[Total Costo]]</f>
        <v>116.92000000000002</v>
      </c>
    </row>
    <row r="646" spans="1:11" x14ac:dyDescent="0.25">
      <c r="A646" s="2">
        <v>45385</v>
      </c>
      <c r="B646" s="1" t="s">
        <v>29</v>
      </c>
      <c r="C646" s="1" t="s">
        <v>30</v>
      </c>
      <c r="D646" s="1" t="s">
        <v>31</v>
      </c>
      <c r="E646" s="1" t="s">
        <v>20</v>
      </c>
      <c r="F646" s="1">
        <v>7</v>
      </c>
      <c r="G646" s="1">
        <v>505.85</v>
      </c>
      <c r="H646" s="1">
        <v>330.76</v>
      </c>
      <c r="I646" s="1">
        <f>TablaVentas[[#This Row],[Precio Unitario]]*TablaVentas[[#This Row],[Cantidad]]</f>
        <v>3540.9500000000003</v>
      </c>
      <c r="J646" s="1">
        <f>TablaVentas[[#This Row],[Costo Unitario]]*TablaVentas[[#This Row],[Cantidad]]</f>
        <v>2315.3199999999997</v>
      </c>
      <c r="K646" s="1">
        <f>TablaVentas[[#This Row],[Total Venta]]-TablaVentas[[#This Row],[Total Costo]]</f>
        <v>1225.6300000000006</v>
      </c>
    </row>
    <row r="647" spans="1:11" x14ac:dyDescent="0.25">
      <c r="A647" s="2">
        <v>45385</v>
      </c>
      <c r="B647" s="1" t="s">
        <v>8</v>
      </c>
      <c r="C647" s="1" t="s">
        <v>9</v>
      </c>
      <c r="D647" s="1" t="s">
        <v>27</v>
      </c>
      <c r="E647" s="1" t="s">
        <v>22</v>
      </c>
      <c r="F647" s="1">
        <v>7</v>
      </c>
      <c r="G647" s="1">
        <v>681.24</v>
      </c>
      <c r="H647" s="1">
        <v>469.49</v>
      </c>
      <c r="I647" s="1">
        <f>TablaVentas[[#This Row],[Precio Unitario]]*TablaVentas[[#This Row],[Cantidad]]</f>
        <v>4768.68</v>
      </c>
      <c r="J647" s="1">
        <f>TablaVentas[[#This Row],[Costo Unitario]]*TablaVentas[[#This Row],[Cantidad]]</f>
        <v>3286.4300000000003</v>
      </c>
      <c r="K647" s="1">
        <f>TablaVentas[[#This Row],[Total Venta]]-TablaVentas[[#This Row],[Total Costo]]</f>
        <v>1482.25</v>
      </c>
    </row>
    <row r="648" spans="1:11" x14ac:dyDescent="0.25">
      <c r="A648" s="2">
        <v>45385</v>
      </c>
      <c r="B648" s="1" t="s">
        <v>8</v>
      </c>
      <c r="C648" s="1" t="s">
        <v>9</v>
      </c>
      <c r="D648" s="1" t="s">
        <v>31</v>
      </c>
      <c r="E648" s="1" t="s">
        <v>20</v>
      </c>
      <c r="F648" s="1">
        <v>8</v>
      </c>
      <c r="G648" s="1">
        <v>697.31</v>
      </c>
      <c r="H648" s="1">
        <v>517.80999999999995</v>
      </c>
      <c r="I648" s="1">
        <f>TablaVentas[[#This Row],[Precio Unitario]]*TablaVentas[[#This Row],[Cantidad]]</f>
        <v>5578.48</v>
      </c>
      <c r="J648" s="1">
        <f>TablaVentas[[#This Row],[Costo Unitario]]*TablaVentas[[#This Row],[Cantidad]]</f>
        <v>4142.4799999999996</v>
      </c>
      <c r="K648" s="1">
        <f>TablaVentas[[#This Row],[Total Venta]]-TablaVentas[[#This Row],[Total Costo]]</f>
        <v>1436</v>
      </c>
    </row>
    <row r="649" spans="1:11" x14ac:dyDescent="0.25">
      <c r="A649" s="2">
        <v>45385</v>
      </c>
      <c r="B649" s="1" t="s">
        <v>12</v>
      </c>
      <c r="C649" s="1" t="s">
        <v>13</v>
      </c>
      <c r="D649" s="1" t="s">
        <v>31</v>
      </c>
      <c r="E649" s="1" t="s">
        <v>15</v>
      </c>
      <c r="F649" s="1">
        <v>1</v>
      </c>
      <c r="G649" s="1">
        <v>67.900000000000006</v>
      </c>
      <c r="H649" s="1">
        <v>44.88</v>
      </c>
      <c r="I649" s="1">
        <f>TablaVentas[[#This Row],[Precio Unitario]]*TablaVentas[[#This Row],[Cantidad]]</f>
        <v>67.900000000000006</v>
      </c>
      <c r="J649" s="1">
        <f>TablaVentas[[#This Row],[Costo Unitario]]*TablaVentas[[#This Row],[Cantidad]]</f>
        <v>44.88</v>
      </c>
      <c r="K649" s="1">
        <f>TablaVentas[[#This Row],[Total Venta]]-TablaVentas[[#This Row],[Total Costo]]</f>
        <v>23.020000000000003</v>
      </c>
    </row>
    <row r="650" spans="1:11" x14ac:dyDescent="0.25">
      <c r="A650" s="2">
        <v>45386</v>
      </c>
      <c r="B650" s="1" t="s">
        <v>26</v>
      </c>
      <c r="C650" s="1" t="s">
        <v>19</v>
      </c>
      <c r="D650" s="1" t="s">
        <v>31</v>
      </c>
      <c r="E650" s="1" t="s">
        <v>28</v>
      </c>
      <c r="F650" s="1">
        <v>9</v>
      </c>
      <c r="G650" s="1">
        <v>46.9</v>
      </c>
      <c r="H650" s="1">
        <v>24.62</v>
      </c>
      <c r="I650" s="1">
        <f>TablaVentas[[#This Row],[Precio Unitario]]*TablaVentas[[#This Row],[Cantidad]]</f>
        <v>422.09999999999997</v>
      </c>
      <c r="J650" s="1">
        <f>TablaVentas[[#This Row],[Costo Unitario]]*TablaVentas[[#This Row],[Cantidad]]</f>
        <v>221.58</v>
      </c>
      <c r="K650" s="1">
        <f>TablaVentas[[#This Row],[Total Venta]]-TablaVentas[[#This Row],[Total Costo]]</f>
        <v>200.51999999999995</v>
      </c>
    </row>
    <row r="651" spans="1:11" x14ac:dyDescent="0.25">
      <c r="A651" s="2">
        <v>45386</v>
      </c>
      <c r="B651" s="1" t="s">
        <v>8</v>
      </c>
      <c r="C651" s="1" t="s">
        <v>9</v>
      </c>
      <c r="D651" s="1" t="s">
        <v>27</v>
      </c>
      <c r="E651" s="1" t="s">
        <v>15</v>
      </c>
      <c r="F651" s="1">
        <v>7</v>
      </c>
      <c r="G651" s="1">
        <v>608.79</v>
      </c>
      <c r="H651" s="1">
        <v>447.96</v>
      </c>
      <c r="I651" s="1">
        <f>TablaVentas[[#This Row],[Precio Unitario]]*TablaVentas[[#This Row],[Cantidad]]</f>
        <v>4261.53</v>
      </c>
      <c r="J651" s="1">
        <f>TablaVentas[[#This Row],[Costo Unitario]]*TablaVentas[[#This Row],[Cantidad]]</f>
        <v>3135.72</v>
      </c>
      <c r="K651" s="1">
        <f>TablaVentas[[#This Row],[Total Venta]]-TablaVentas[[#This Row],[Total Costo]]</f>
        <v>1125.81</v>
      </c>
    </row>
    <row r="652" spans="1:11" x14ac:dyDescent="0.25">
      <c r="A652" s="2">
        <v>45388</v>
      </c>
      <c r="B652" s="1" t="s">
        <v>23</v>
      </c>
      <c r="C652" s="1" t="s">
        <v>9</v>
      </c>
      <c r="D652" s="1" t="s">
        <v>10</v>
      </c>
      <c r="E652" s="1" t="s">
        <v>28</v>
      </c>
      <c r="F652" s="1">
        <v>8</v>
      </c>
      <c r="G652" s="1">
        <v>77.87</v>
      </c>
      <c r="H652" s="1">
        <v>48.45</v>
      </c>
      <c r="I652" s="1">
        <f>TablaVentas[[#This Row],[Precio Unitario]]*TablaVentas[[#This Row],[Cantidad]]</f>
        <v>622.96</v>
      </c>
      <c r="J652" s="1">
        <f>TablaVentas[[#This Row],[Costo Unitario]]*TablaVentas[[#This Row],[Cantidad]]</f>
        <v>387.6</v>
      </c>
      <c r="K652" s="1">
        <f>TablaVentas[[#This Row],[Total Venta]]-TablaVentas[[#This Row],[Total Costo]]</f>
        <v>235.36</v>
      </c>
    </row>
    <row r="653" spans="1:11" x14ac:dyDescent="0.25">
      <c r="A653" s="2">
        <v>45388</v>
      </c>
      <c r="B653" s="1" t="s">
        <v>16</v>
      </c>
      <c r="C653" s="1" t="s">
        <v>13</v>
      </c>
      <c r="D653" s="1" t="s">
        <v>24</v>
      </c>
      <c r="E653" s="1" t="s">
        <v>20</v>
      </c>
      <c r="F653" s="1">
        <v>5</v>
      </c>
      <c r="G653" s="1">
        <v>48.27</v>
      </c>
      <c r="H653" s="1">
        <v>38.020000000000003</v>
      </c>
      <c r="I653" s="1">
        <f>TablaVentas[[#This Row],[Precio Unitario]]*TablaVentas[[#This Row],[Cantidad]]</f>
        <v>241.35000000000002</v>
      </c>
      <c r="J653" s="1">
        <f>TablaVentas[[#This Row],[Costo Unitario]]*TablaVentas[[#This Row],[Cantidad]]</f>
        <v>190.10000000000002</v>
      </c>
      <c r="K653" s="1">
        <f>TablaVentas[[#This Row],[Total Venta]]-TablaVentas[[#This Row],[Total Costo]]</f>
        <v>51.25</v>
      </c>
    </row>
    <row r="654" spans="1:11" x14ac:dyDescent="0.25">
      <c r="A654" s="2">
        <v>45389</v>
      </c>
      <c r="B654" s="1" t="s">
        <v>8</v>
      </c>
      <c r="C654" s="1" t="s">
        <v>9</v>
      </c>
      <c r="D654" s="1" t="s">
        <v>24</v>
      </c>
      <c r="E654" s="1" t="s">
        <v>20</v>
      </c>
      <c r="F654" s="1">
        <v>3</v>
      </c>
      <c r="G654" s="1">
        <v>753.47</v>
      </c>
      <c r="H654" s="1">
        <v>439.2</v>
      </c>
      <c r="I654" s="1">
        <f>TablaVentas[[#This Row],[Precio Unitario]]*TablaVentas[[#This Row],[Cantidad]]</f>
        <v>2260.41</v>
      </c>
      <c r="J654" s="1">
        <f>TablaVentas[[#This Row],[Costo Unitario]]*TablaVentas[[#This Row],[Cantidad]]</f>
        <v>1317.6</v>
      </c>
      <c r="K654" s="1">
        <f>TablaVentas[[#This Row],[Total Venta]]-TablaVentas[[#This Row],[Total Costo]]</f>
        <v>942.81</v>
      </c>
    </row>
    <row r="655" spans="1:11" x14ac:dyDescent="0.25">
      <c r="A655" s="2">
        <v>45390</v>
      </c>
      <c r="B655" s="1" t="s">
        <v>23</v>
      </c>
      <c r="C655" s="1" t="s">
        <v>9</v>
      </c>
      <c r="D655" s="1" t="s">
        <v>14</v>
      </c>
      <c r="E655" s="1" t="s">
        <v>28</v>
      </c>
      <c r="F655" s="1">
        <v>8</v>
      </c>
      <c r="G655" s="1">
        <v>64.739999999999995</v>
      </c>
      <c r="H655" s="1">
        <v>48.2</v>
      </c>
      <c r="I655" s="1">
        <f>TablaVentas[[#This Row],[Precio Unitario]]*TablaVentas[[#This Row],[Cantidad]]</f>
        <v>517.91999999999996</v>
      </c>
      <c r="J655" s="1">
        <f>TablaVentas[[#This Row],[Costo Unitario]]*TablaVentas[[#This Row],[Cantidad]]</f>
        <v>385.6</v>
      </c>
      <c r="K655" s="1">
        <f>TablaVentas[[#This Row],[Total Venta]]-TablaVentas[[#This Row],[Total Costo]]</f>
        <v>132.31999999999994</v>
      </c>
    </row>
    <row r="656" spans="1:11" x14ac:dyDescent="0.25">
      <c r="A656" s="2">
        <v>45393</v>
      </c>
      <c r="B656" s="1" t="s">
        <v>21</v>
      </c>
      <c r="C656" s="1" t="s">
        <v>19</v>
      </c>
      <c r="D656" s="1" t="s">
        <v>25</v>
      </c>
      <c r="E656" s="1" t="s">
        <v>20</v>
      </c>
      <c r="F656" s="1">
        <v>4</v>
      </c>
      <c r="G656" s="1">
        <v>81.89</v>
      </c>
      <c r="H656" s="1">
        <v>48.84</v>
      </c>
      <c r="I656" s="1">
        <f>TablaVentas[[#This Row],[Precio Unitario]]*TablaVentas[[#This Row],[Cantidad]]</f>
        <v>327.56</v>
      </c>
      <c r="J656" s="1">
        <f>TablaVentas[[#This Row],[Costo Unitario]]*TablaVentas[[#This Row],[Cantidad]]</f>
        <v>195.36</v>
      </c>
      <c r="K656" s="1">
        <f>TablaVentas[[#This Row],[Total Venta]]-TablaVentas[[#This Row],[Total Costo]]</f>
        <v>132.19999999999999</v>
      </c>
    </row>
    <row r="657" spans="1:11" x14ac:dyDescent="0.25">
      <c r="A657" s="2">
        <v>45393</v>
      </c>
      <c r="B657" s="1" t="s">
        <v>18</v>
      </c>
      <c r="C657" s="1" t="s">
        <v>19</v>
      </c>
      <c r="D657" s="1" t="s">
        <v>27</v>
      </c>
      <c r="E657" s="1" t="s">
        <v>15</v>
      </c>
      <c r="F657" s="1">
        <v>4</v>
      </c>
      <c r="G657" s="1">
        <v>1309.4100000000001</v>
      </c>
      <c r="H657" s="1">
        <v>905.33</v>
      </c>
      <c r="I657" s="1">
        <f>TablaVentas[[#This Row],[Precio Unitario]]*TablaVentas[[#This Row],[Cantidad]]</f>
        <v>5237.6400000000003</v>
      </c>
      <c r="J657" s="1">
        <f>TablaVentas[[#This Row],[Costo Unitario]]*TablaVentas[[#This Row],[Cantidad]]</f>
        <v>3621.32</v>
      </c>
      <c r="K657" s="1">
        <f>TablaVentas[[#This Row],[Total Venta]]-TablaVentas[[#This Row],[Total Costo]]</f>
        <v>1616.3200000000002</v>
      </c>
    </row>
    <row r="658" spans="1:11" x14ac:dyDescent="0.25">
      <c r="A658" s="2">
        <v>45394</v>
      </c>
      <c r="B658" s="1" t="s">
        <v>12</v>
      </c>
      <c r="C658" s="1" t="s">
        <v>13</v>
      </c>
      <c r="D658" s="1" t="s">
        <v>10</v>
      </c>
      <c r="E658" s="1" t="s">
        <v>15</v>
      </c>
      <c r="F658" s="1">
        <v>6</v>
      </c>
      <c r="G658" s="1">
        <v>72.5</v>
      </c>
      <c r="H658" s="1">
        <v>43.11</v>
      </c>
      <c r="I658" s="1">
        <f>TablaVentas[[#This Row],[Precio Unitario]]*TablaVentas[[#This Row],[Cantidad]]</f>
        <v>435</v>
      </c>
      <c r="J658" s="1">
        <f>TablaVentas[[#This Row],[Costo Unitario]]*TablaVentas[[#This Row],[Cantidad]]</f>
        <v>258.65999999999997</v>
      </c>
      <c r="K658" s="1">
        <f>TablaVentas[[#This Row],[Total Venta]]-TablaVentas[[#This Row],[Total Costo]]</f>
        <v>176.34000000000003</v>
      </c>
    </row>
    <row r="659" spans="1:11" x14ac:dyDescent="0.25">
      <c r="A659" s="2">
        <v>45394</v>
      </c>
      <c r="B659" s="1" t="s">
        <v>21</v>
      </c>
      <c r="C659" s="1" t="s">
        <v>19</v>
      </c>
      <c r="D659" s="1" t="s">
        <v>24</v>
      </c>
      <c r="E659" s="1" t="s">
        <v>20</v>
      </c>
      <c r="F659" s="1">
        <v>5</v>
      </c>
      <c r="G659" s="1">
        <v>85.29</v>
      </c>
      <c r="H659" s="1">
        <v>55.72</v>
      </c>
      <c r="I659" s="1">
        <f>TablaVentas[[#This Row],[Precio Unitario]]*TablaVentas[[#This Row],[Cantidad]]</f>
        <v>426.45000000000005</v>
      </c>
      <c r="J659" s="1">
        <f>TablaVentas[[#This Row],[Costo Unitario]]*TablaVentas[[#This Row],[Cantidad]]</f>
        <v>278.60000000000002</v>
      </c>
      <c r="K659" s="1">
        <f>TablaVentas[[#This Row],[Total Venta]]-TablaVentas[[#This Row],[Total Costo]]</f>
        <v>147.85000000000002</v>
      </c>
    </row>
    <row r="660" spans="1:11" x14ac:dyDescent="0.25">
      <c r="A660" s="2">
        <v>45395</v>
      </c>
      <c r="B660" s="1" t="s">
        <v>32</v>
      </c>
      <c r="C660" s="1" t="s">
        <v>30</v>
      </c>
      <c r="D660" s="1" t="s">
        <v>10</v>
      </c>
      <c r="E660" s="1" t="s">
        <v>22</v>
      </c>
      <c r="F660" s="1">
        <v>5</v>
      </c>
      <c r="G660" s="1">
        <v>329.07</v>
      </c>
      <c r="H660" s="1">
        <v>204.99</v>
      </c>
      <c r="I660" s="1">
        <f>TablaVentas[[#This Row],[Precio Unitario]]*TablaVentas[[#This Row],[Cantidad]]</f>
        <v>1645.35</v>
      </c>
      <c r="J660" s="1">
        <f>TablaVentas[[#This Row],[Costo Unitario]]*TablaVentas[[#This Row],[Cantidad]]</f>
        <v>1024.95</v>
      </c>
      <c r="K660" s="1">
        <f>TablaVentas[[#This Row],[Total Venta]]-TablaVentas[[#This Row],[Total Costo]]</f>
        <v>620.39999999999986</v>
      </c>
    </row>
    <row r="661" spans="1:11" x14ac:dyDescent="0.25">
      <c r="A661" s="2">
        <v>45395</v>
      </c>
      <c r="B661" s="1" t="s">
        <v>12</v>
      </c>
      <c r="C661" s="1" t="s">
        <v>13</v>
      </c>
      <c r="D661" s="1" t="s">
        <v>27</v>
      </c>
      <c r="E661" s="1" t="s">
        <v>11</v>
      </c>
      <c r="F661" s="1">
        <v>8</v>
      </c>
      <c r="G661" s="1">
        <v>64.88</v>
      </c>
      <c r="H661" s="1">
        <v>44.39</v>
      </c>
      <c r="I661" s="1">
        <f>TablaVentas[[#This Row],[Precio Unitario]]*TablaVentas[[#This Row],[Cantidad]]</f>
        <v>519.04</v>
      </c>
      <c r="J661" s="1">
        <f>TablaVentas[[#This Row],[Costo Unitario]]*TablaVentas[[#This Row],[Cantidad]]</f>
        <v>355.12</v>
      </c>
      <c r="K661" s="1">
        <f>TablaVentas[[#This Row],[Total Venta]]-TablaVentas[[#This Row],[Total Costo]]</f>
        <v>163.91999999999996</v>
      </c>
    </row>
    <row r="662" spans="1:11" x14ac:dyDescent="0.25">
      <c r="A662" s="2">
        <v>45396</v>
      </c>
      <c r="B662" s="1" t="s">
        <v>16</v>
      </c>
      <c r="C662" s="1" t="s">
        <v>13</v>
      </c>
      <c r="D662" s="1" t="s">
        <v>31</v>
      </c>
      <c r="E662" s="1" t="s">
        <v>22</v>
      </c>
      <c r="F662" s="1">
        <v>1</v>
      </c>
      <c r="G662" s="1">
        <v>54.73</v>
      </c>
      <c r="H662" s="1">
        <v>35.909999999999997</v>
      </c>
      <c r="I662" s="1">
        <f>TablaVentas[[#This Row],[Precio Unitario]]*TablaVentas[[#This Row],[Cantidad]]</f>
        <v>54.73</v>
      </c>
      <c r="J662" s="1">
        <f>TablaVentas[[#This Row],[Costo Unitario]]*TablaVentas[[#This Row],[Cantidad]]</f>
        <v>35.909999999999997</v>
      </c>
      <c r="K662" s="1">
        <f>TablaVentas[[#This Row],[Total Venta]]-TablaVentas[[#This Row],[Total Costo]]</f>
        <v>18.82</v>
      </c>
    </row>
    <row r="663" spans="1:11" x14ac:dyDescent="0.25">
      <c r="A663" s="2">
        <v>45398</v>
      </c>
      <c r="B663" s="1" t="s">
        <v>34</v>
      </c>
      <c r="C663" s="1" t="s">
        <v>13</v>
      </c>
      <c r="D663" s="1" t="s">
        <v>27</v>
      </c>
      <c r="E663" s="1" t="s">
        <v>20</v>
      </c>
      <c r="F663" s="1">
        <v>4</v>
      </c>
      <c r="G663" s="1">
        <v>275.33</v>
      </c>
      <c r="H663" s="1">
        <v>208.41</v>
      </c>
      <c r="I663" s="1">
        <f>TablaVentas[[#This Row],[Precio Unitario]]*TablaVentas[[#This Row],[Cantidad]]</f>
        <v>1101.32</v>
      </c>
      <c r="J663" s="1">
        <f>TablaVentas[[#This Row],[Costo Unitario]]*TablaVentas[[#This Row],[Cantidad]]</f>
        <v>833.64</v>
      </c>
      <c r="K663" s="1">
        <f>TablaVentas[[#This Row],[Total Venta]]-TablaVentas[[#This Row],[Total Costo]]</f>
        <v>267.67999999999995</v>
      </c>
    </row>
    <row r="664" spans="1:11" x14ac:dyDescent="0.25">
      <c r="A664" s="2">
        <v>45402</v>
      </c>
      <c r="B664" s="1" t="s">
        <v>12</v>
      </c>
      <c r="C664" s="1" t="s">
        <v>13</v>
      </c>
      <c r="D664" s="1" t="s">
        <v>17</v>
      </c>
      <c r="E664" s="1" t="s">
        <v>15</v>
      </c>
      <c r="F664" s="1">
        <v>6</v>
      </c>
      <c r="G664" s="1">
        <v>61.66</v>
      </c>
      <c r="H664" s="1">
        <v>41.87</v>
      </c>
      <c r="I664" s="1">
        <f>TablaVentas[[#This Row],[Precio Unitario]]*TablaVentas[[#This Row],[Cantidad]]</f>
        <v>369.96</v>
      </c>
      <c r="J664" s="1">
        <f>TablaVentas[[#This Row],[Costo Unitario]]*TablaVentas[[#This Row],[Cantidad]]</f>
        <v>251.21999999999997</v>
      </c>
      <c r="K664" s="1">
        <f>TablaVentas[[#This Row],[Total Venta]]-TablaVentas[[#This Row],[Total Costo]]</f>
        <v>118.74000000000001</v>
      </c>
    </row>
    <row r="665" spans="1:11" x14ac:dyDescent="0.25">
      <c r="A665" s="2">
        <v>45402</v>
      </c>
      <c r="B665" s="1" t="s">
        <v>23</v>
      </c>
      <c r="C665" s="1" t="s">
        <v>9</v>
      </c>
      <c r="D665" s="1" t="s">
        <v>27</v>
      </c>
      <c r="E665" s="1" t="s">
        <v>15</v>
      </c>
      <c r="F665" s="1">
        <v>2</v>
      </c>
      <c r="G665" s="1">
        <v>74.7</v>
      </c>
      <c r="H665" s="1">
        <v>48.85</v>
      </c>
      <c r="I665" s="1">
        <f>TablaVentas[[#This Row],[Precio Unitario]]*TablaVentas[[#This Row],[Cantidad]]</f>
        <v>149.4</v>
      </c>
      <c r="J665" s="1">
        <f>TablaVentas[[#This Row],[Costo Unitario]]*TablaVentas[[#This Row],[Cantidad]]</f>
        <v>97.7</v>
      </c>
      <c r="K665" s="1">
        <f>TablaVentas[[#This Row],[Total Venta]]-TablaVentas[[#This Row],[Total Costo]]</f>
        <v>51.7</v>
      </c>
    </row>
    <row r="666" spans="1:11" x14ac:dyDescent="0.25">
      <c r="A666" s="2">
        <v>45403</v>
      </c>
      <c r="B666" s="1" t="s">
        <v>21</v>
      </c>
      <c r="C666" s="1" t="s">
        <v>19</v>
      </c>
      <c r="D666" s="1" t="s">
        <v>31</v>
      </c>
      <c r="E666" s="1" t="s">
        <v>22</v>
      </c>
      <c r="F666" s="1">
        <v>5</v>
      </c>
      <c r="G666" s="1">
        <v>93.55</v>
      </c>
      <c r="H666" s="1">
        <v>47.48</v>
      </c>
      <c r="I666" s="1">
        <f>TablaVentas[[#This Row],[Precio Unitario]]*TablaVentas[[#This Row],[Cantidad]]</f>
        <v>467.75</v>
      </c>
      <c r="J666" s="1">
        <f>TablaVentas[[#This Row],[Costo Unitario]]*TablaVentas[[#This Row],[Cantidad]]</f>
        <v>237.39999999999998</v>
      </c>
      <c r="K666" s="1">
        <f>TablaVentas[[#This Row],[Total Venta]]-TablaVentas[[#This Row],[Total Costo]]</f>
        <v>230.35000000000002</v>
      </c>
    </row>
    <row r="667" spans="1:11" x14ac:dyDescent="0.25">
      <c r="A667" s="2">
        <v>45403</v>
      </c>
      <c r="B667" s="1" t="s">
        <v>26</v>
      </c>
      <c r="C667" s="1" t="s">
        <v>19</v>
      </c>
      <c r="D667" s="1" t="s">
        <v>33</v>
      </c>
      <c r="E667" s="1" t="s">
        <v>11</v>
      </c>
      <c r="F667" s="1">
        <v>8</v>
      </c>
      <c r="G667" s="1">
        <v>40.75</v>
      </c>
      <c r="H667" s="1">
        <v>25.5</v>
      </c>
      <c r="I667" s="1">
        <f>TablaVentas[[#This Row],[Precio Unitario]]*TablaVentas[[#This Row],[Cantidad]]</f>
        <v>326</v>
      </c>
      <c r="J667" s="1">
        <f>TablaVentas[[#This Row],[Costo Unitario]]*TablaVentas[[#This Row],[Cantidad]]</f>
        <v>204</v>
      </c>
      <c r="K667" s="1">
        <f>TablaVentas[[#This Row],[Total Venta]]-TablaVentas[[#This Row],[Total Costo]]</f>
        <v>122</v>
      </c>
    </row>
    <row r="668" spans="1:11" x14ac:dyDescent="0.25">
      <c r="A668" s="2">
        <v>45404</v>
      </c>
      <c r="B668" s="1" t="s">
        <v>26</v>
      </c>
      <c r="C668" s="1" t="s">
        <v>19</v>
      </c>
      <c r="D668" s="1" t="s">
        <v>27</v>
      </c>
      <c r="E668" s="1" t="s">
        <v>11</v>
      </c>
      <c r="F668" s="1">
        <v>1</v>
      </c>
      <c r="G668" s="1">
        <v>46.56</v>
      </c>
      <c r="H668" s="1">
        <v>26.01</v>
      </c>
      <c r="I668" s="1">
        <f>TablaVentas[[#This Row],[Precio Unitario]]*TablaVentas[[#This Row],[Cantidad]]</f>
        <v>46.56</v>
      </c>
      <c r="J668" s="1">
        <f>TablaVentas[[#This Row],[Costo Unitario]]*TablaVentas[[#This Row],[Cantidad]]</f>
        <v>26.01</v>
      </c>
      <c r="K668" s="1">
        <f>TablaVentas[[#This Row],[Total Venta]]-TablaVentas[[#This Row],[Total Costo]]</f>
        <v>20.55</v>
      </c>
    </row>
    <row r="669" spans="1:11" x14ac:dyDescent="0.25">
      <c r="A669" s="2">
        <v>45405</v>
      </c>
      <c r="B669" s="1" t="s">
        <v>32</v>
      </c>
      <c r="C669" s="1" t="s">
        <v>30</v>
      </c>
      <c r="D669" s="1" t="s">
        <v>27</v>
      </c>
      <c r="E669" s="1" t="s">
        <v>22</v>
      </c>
      <c r="F669" s="1">
        <v>5</v>
      </c>
      <c r="G669" s="1">
        <v>279.27</v>
      </c>
      <c r="H669" s="1">
        <v>201.81</v>
      </c>
      <c r="I669" s="1">
        <f>TablaVentas[[#This Row],[Precio Unitario]]*TablaVentas[[#This Row],[Cantidad]]</f>
        <v>1396.35</v>
      </c>
      <c r="J669" s="1">
        <f>TablaVentas[[#This Row],[Costo Unitario]]*TablaVentas[[#This Row],[Cantidad]]</f>
        <v>1009.05</v>
      </c>
      <c r="K669" s="1">
        <f>TablaVentas[[#This Row],[Total Venta]]-TablaVentas[[#This Row],[Total Costo]]</f>
        <v>387.29999999999995</v>
      </c>
    </row>
    <row r="670" spans="1:11" x14ac:dyDescent="0.25">
      <c r="A670" s="2">
        <v>45405</v>
      </c>
      <c r="B670" s="1" t="s">
        <v>29</v>
      </c>
      <c r="C670" s="1" t="s">
        <v>30</v>
      </c>
      <c r="D670" s="1" t="s">
        <v>25</v>
      </c>
      <c r="E670" s="1" t="s">
        <v>15</v>
      </c>
      <c r="F670" s="1">
        <v>7</v>
      </c>
      <c r="G670" s="1">
        <v>472.26</v>
      </c>
      <c r="H670" s="1">
        <v>315.5</v>
      </c>
      <c r="I670" s="1">
        <f>TablaVentas[[#This Row],[Precio Unitario]]*TablaVentas[[#This Row],[Cantidad]]</f>
        <v>3305.8199999999997</v>
      </c>
      <c r="J670" s="1">
        <f>TablaVentas[[#This Row],[Costo Unitario]]*TablaVentas[[#This Row],[Cantidad]]</f>
        <v>2208.5</v>
      </c>
      <c r="K670" s="1">
        <f>TablaVentas[[#This Row],[Total Venta]]-TablaVentas[[#This Row],[Total Costo]]</f>
        <v>1097.3199999999997</v>
      </c>
    </row>
    <row r="671" spans="1:11" x14ac:dyDescent="0.25">
      <c r="A671" s="2">
        <v>45406</v>
      </c>
      <c r="B671" s="1" t="s">
        <v>8</v>
      </c>
      <c r="C671" s="1" t="s">
        <v>9</v>
      </c>
      <c r="D671" s="1" t="s">
        <v>17</v>
      </c>
      <c r="E671" s="1" t="s">
        <v>15</v>
      </c>
      <c r="F671" s="1">
        <v>2</v>
      </c>
      <c r="G671" s="1">
        <v>716.5</v>
      </c>
      <c r="H671" s="1">
        <v>475.6</v>
      </c>
      <c r="I671" s="1">
        <f>TablaVentas[[#This Row],[Precio Unitario]]*TablaVentas[[#This Row],[Cantidad]]</f>
        <v>1433</v>
      </c>
      <c r="J671" s="1">
        <f>TablaVentas[[#This Row],[Costo Unitario]]*TablaVentas[[#This Row],[Cantidad]]</f>
        <v>951.2</v>
      </c>
      <c r="K671" s="1">
        <f>TablaVentas[[#This Row],[Total Venta]]-TablaVentas[[#This Row],[Total Costo]]</f>
        <v>481.79999999999995</v>
      </c>
    </row>
    <row r="672" spans="1:11" x14ac:dyDescent="0.25">
      <c r="A672" s="2">
        <v>45409</v>
      </c>
      <c r="B672" s="1" t="s">
        <v>16</v>
      </c>
      <c r="C672" s="1" t="s">
        <v>13</v>
      </c>
      <c r="D672" s="1" t="s">
        <v>17</v>
      </c>
      <c r="E672" s="1" t="s">
        <v>20</v>
      </c>
      <c r="F672" s="1">
        <v>4</v>
      </c>
      <c r="G672" s="1">
        <v>51.32</v>
      </c>
      <c r="H672" s="1">
        <v>36.85</v>
      </c>
      <c r="I672" s="1">
        <f>TablaVentas[[#This Row],[Precio Unitario]]*TablaVentas[[#This Row],[Cantidad]]</f>
        <v>205.28</v>
      </c>
      <c r="J672" s="1">
        <f>TablaVentas[[#This Row],[Costo Unitario]]*TablaVentas[[#This Row],[Cantidad]]</f>
        <v>147.4</v>
      </c>
      <c r="K672" s="1">
        <f>TablaVentas[[#This Row],[Total Venta]]-TablaVentas[[#This Row],[Total Costo]]</f>
        <v>57.879999999999995</v>
      </c>
    </row>
    <row r="673" spans="1:11" x14ac:dyDescent="0.25">
      <c r="A673" s="2">
        <v>45409</v>
      </c>
      <c r="B673" s="1" t="s">
        <v>21</v>
      </c>
      <c r="C673" s="1" t="s">
        <v>19</v>
      </c>
      <c r="D673" s="1" t="s">
        <v>33</v>
      </c>
      <c r="E673" s="1" t="s">
        <v>15</v>
      </c>
      <c r="F673" s="1">
        <v>1</v>
      </c>
      <c r="G673" s="1">
        <v>77.239999999999995</v>
      </c>
      <c r="H673" s="1">
        <v>50.09</v>
      </c>
      <c r="I673" s="1">
        <f>TablaVentas[[#This Row],[Precio Unitario]]*TablaVentas[[#This Row],[Cantidad]]</f>
        <v>77.239999999999995</v>
      </c>
      <c r="J673" s="1">
        <f>TablaVentas[[#This Row],[Costo Unitario]]*TablaVentas[[#This Row],[Cantidad]]</f>
        <v>50.09</v>
      </c>
      <c r="K673" s="1">
        <f>TablaVentas[[#This Row],[Total Venta]]-TablaVentas[[#This Row],[Total Costo]]</f>
        <v>27.149999999999991</v>
      </c>
    </row>
    <row r="674" spans="1:11" x14ac:dyDescent="0.25">
      <c r="A674" s="2">
        <v>45411</v>
      </c>
      <c r="B674" s="1" t="s">
        <v>21</v>
      </c>
      <c r="C674" s="1" t="s">
        <v>19</v>
      </c>
      <c r="D674" s="1" t="s">
        <v>17</v>
      </c>
      <c r="E674" s="1" t="s">
        <v>28</v>
      </c>
      <c r="F674" s="1">
        <v>4</v>
      </c>
      <c r="G674" s="1">
        <v>78.25</v>
      </c>
      <c r="H674" s="1">
        <v>53.23</v>
      </c>
      <c r="I674" s="1">
        <f>TablaVentas[[#This Row],[Precio Unitario]]*TablaVentas[[#This Row],[Cantidad]]</f>
        <v>313</v>
      </c>
      <c r="J674" s="1">
        <f>TablaVentas[[#This Row],[Costo Unitario]]*TablaVentas[[#This Row],[Cantidad]]</f>
        <v>212.92</v>
      </c>
      <c r="K674" s="1">
        <f>TablaVentas[[#This Row],[Total Venta]]-TablaVentas[[#This Row],[Total Costo]]</f>
        <v>100.08000000000001</v>
      </c>
    </row>
    <row r="675" spans="1:11" x14ac:dyDescent="0.25">
      <c r="A675" s="2">
        <v>45411</v>
      </c>
      <c r="B675" s="1" t="s">
        <v>26</v>
      </c>
      <c r="C675" s="1" t="s">
        <v>19</v>
      </c>
      <c r="D675" s="1" t="s">
        <v>10</v>
      </c>
      <c r="E675" s="1" t="s">
        <v>28</v>
      </c>
      <c r="F675" s="1">
        <v>10</v>
      </c>
      <c r="G675" s="1">
        <v>47.55</v>
      </c>
      <c r="H675" s="1">
        <v>22.98</v>
      </c>
      <c r="I675" s="1">
        <f>TablaVentas[[#This Row],[Precio Unitario]]*TablaVentas[[#This Row],[Cantidad]]</f>
        <v>475.5</v>
      </c>
      <c r="J675" s="1">
        <f>TablaVentas[[#This Row],[Costo Unitario]]*TablaVentas[[#This Row],[Cantidad]]</f>
        <v>229.8</v>
      </c>
      <c r="K675" s="1">
        <f>TablaVentas[[#This Row],[Total Venta]]-TablaVentas[[#This Row],[Total Costo]]</f>
        <v>245.7</v>
      </c>
    </row>
    <row r="676" spans="1:11" x14ac:dyDescent="0.25">
      <c r="A676" s="2">
        <v>45412</v>
      </c>
      <c r="B676" s="1" t="s">
        <v>16</v>
      </c>
      <c r="C676" s="1" t="s">
        <v>13</v>
      </c>
      <c r="D676" s="1" t="s">
        <v>14</v>
      </c>
      <c r="E676" s="1" t="s">
        <v>20</v>
      </c>
      <c r="F676" s="1">
        <v>5</v>
      </c>
      <c r="G676" s="1">
        <v>59.77</v>
      </c>
      <c r="H676" s="1">
        <v>35.67</v>
      </c>
      <c r="I676" s="1">
        <f>TablaVentas[[#This Row],[Precio Unitario]]*TablaVentas[[#This Row],[Cantidad]]</f>
        <v>298.85000000000002</v>
      </c>
      <c r="J676" s="1">
        <f>TablaVentas[[#This Row],[Costo Unitario]]*TablaVentas[[#This Row],[Cantidad]]</f>
        <v>178.35000000000002</v>
      </c>
      <c r="K676" s="1">
        <f>TablaVentas[[#This Row],[Total Venta]]-TablaVentas[[#This Row],[Total Costo]]</f>
        <v>120.5</v>
      </c>
    </row>
    <row r="677" spans="1:11" x14ac:dyDescent="0.25">
      <c r="A677" s="2">
        <v>45413</v>
      </c>
      <c r="B677" s="1" t="s">
        <v>23</v>
      </c>
      <c r="C677" s="1" t="s">
        <v>9</v>
      </c>
      <c r="D677" s="1" t="s">
        <v>27</v>
      </c>
      <c r="E677" s="1" t="s">
        <v>15</v>
      </c>
      <c r="F677" s="1">
        <v>1</v>
      </c>
      <c r="G677" s="1">
        <v>82.16</v>
      </c>
      <c r="H677" s="1">
        <v>48.23</v>
      </c>
      <c r="I677" s="1">
        <f>TablaVentas[[#This Row],[Precio Unitario]]*TablaVentas[[#This Row],[Cantidad]]</f>
        <v>82.16</v>
      </c>
      <c r="J677" s="1">
        <f>TablaVentas[[#This Row],[Costo Unitario]]*TablaVentas[[#This Row],[Cantidad]]</f>
        <v>48.23</v>
      </c>
      <c r="K677" s="1">
        <f>TablaVentas[[#This Row],[Total Venta]]-TablaVentas[[#This Row],[Total Costo]]</f>
        <v>33.93</v>
      </c>
    </row>
    <row r="678" spans="1:11" x14ac:dyDescent="0.25">
      <c r="A678" s="2">
        <v>45413</v>
      </c>
      <c r="B678" s="1" t="s">
        <v>34</v>
      </c>
      <c r="C678" s="1" t="s">
        <v>13</v>
      </c>
      <c r="D678" s="1" t="s">
        <v>25</v>
      </c>
      <c r="E678" s="1" t="s">
        <v>15</v>
      </c>
      <c r="F678" s="1">
        <v>9</v>
      </c>
      <c r="G678" s="1">
        <v>295.07</v>
      </c>
      <c r="H678" s="1">
        <v>201.93</v>
      </c>
      <c r="I678" s="1">
        <f>TablaVentas[[#This Row],[Precio Unitario]]*TablaVentas[[#This Row],[Cantidad]]</f>
        <v>2655.63</v>
      </c>
      <c r="J678" s="1">
        <f>TablaVentas[[#This Row],[Costo Unitario]]*TablaVentas[[#This Row],[Cantidad]]</f>
        <v>1817.3700000000001</v>
      </c>
      <c r="K678" s="1">
        <f>TablaVentas[[#This Row],[Total Venta]]-TablaVentas[[#This Row],[Total Costo]]</f>
        <v>838.26</v>
      </c>
    </row>
    <row r="679" spans="1:11" x14ac:dyDescent="0.25">
      <c r="A679" s="2">
        <v>45413</v>
      </c>
      <c r="B679" s="1" t="s">
        <v>21</v>
      </c>
      <c r="C679" s="1" t="s">
        <v>19</v>
      </c>
      <c r="D679" s="1" t="s">
        <v>33</v>
      </c>
      <c r="E679" s="1" t="s">
        <v>22</v>
      </c>
      <c r="F679" s="1">
        <v>6</v>
      </c>
      <c r="G679" s="1">
        <v>98.72</v>
      </c>
      <c r="H679" s="1">
        <v>48.24</v>
      </c>
      <c r="I679" s="1">
        <f>TablaVentas[[#This Row],[Precio Unitario]]*TablaVentas[[#This Row],[Cantidad]]</f>
        <v>592.31999999999994</v>
      </c>
      <c r="J679" s="1">
        <f>TablaVentas[[#This Row],[Costo Unitario]]*TablaVentas[[#This Row],[Cantidad]]</f>
        <v>289.44</v>
      </c>
      <c r="K679" s="1">
        <f>TablaVentas[[#This Row],[Total Venta]]-TablaVentas[[#This Row],[Total Costo]]</f>
        <v>302.87999999999994</v>
      </c>
    </row>
    <row r="680" spans="1:11" x14ac:dyDescent="0.25">
      <c r="A680" s="2">
        <v>45414</v>
      </c>
      <c r="B680" s="1" t="s">
        <v>18</v>
      </c>
      <c r="C680" s="1" t="s">
        <v>19</v>
      </c>
      <c r="D680" s="1" t="s">
        <v>25</v>
      </c>
      <c r="E680" s="1" t="s">
        <v>28</v>
      </c>
      <c r="F680" s="1">
        <v>7</v>
      </c>
      <c r="G680" s="1">
        <v>1335.09</v>
      </c>
      <c r="H680" s="1">
        <v>793.58</v>
      </c>
      <c r="I680" s="1">
        <f>TablaVentas[[#This Row],[Precio Unitario]]*TablaVentas[[#This Row],[Cantidad]]</f>
        <v>9345.6299999999992</v>
      </c>
      <c r="J680" s="1">
        <f>TablaVentas[[#This Row],[Costo Unitario]]*TablaVentas[[#This Row],[Cantidad]]</f>
        <v>5555.06</v>
      </c>
      <c r="K680" s="1">
        <f>TablaVentas[[#This Row],[Total Venta]]-TablaVentas[[#This Row],[Total Costo]]</f>
        <v>3790.5699999999988</v>
      </c>
    </row>
    <row r="681" spans="1:11" x14ac:dyDescent="0.25">
      <c r="A681" s="2">
        <v>45414</v>
      </c>
      <c r="B681" s="1" t="s">
        <v>23</v>
      </c>
      <c r="C681" s="1" t="s">
        <v>9</v>
      </c>
      <c r="D681" s="1" t="s">
        <v>10</v>
      </c>
      <c r="E681" s="1" t="s">
        <v>28</v>
      </c>
      <c r="F681" s="1">
        <v>6</v>
      </c>
      <c r="G681" s="1">
        <v>78.900000000000006</v>
      </c>
      <c r="H681" s="1">
        <v>45.49</v>
      </c>
      <c r="I681" s="1">
        <f>TablaVentas[[#This Row],[Precio Unitario]]*TablaVentas[[#This Row],[Cantidad]]</f>
        <v>473.40000000000003</v>
      </c>
      <c r="J681" s="1">
        <f>TablaVentas[[#This Row],[Costo Unitario]]*TablaVentas[[#This Row],[Cantidad]]</f>
        <v>272.94</v>
      </c>
      <c r="K681" s="1">
        <f>TablaVentas[[#This Row],[Total Venta]]-TablaVentas[[#This Row],[Total Costo]]</f>
        <v>200.46000000000004</v>
      </c>
    </row>
    <row r="682" spans="1:11" x14ac:dyDescent="0.25">
      <c r="A682" s="2">
        <v>45414</v>
      </c>
      <c r="B682" s="1" t="s">
        <v>8</v>
      </c>
      <c r="C682" s="1" t="s">
        <v>9</v>
      </c>
      <c r="D682" s="1" t="s">
        <v>25</v>
      </c>
      <c r="E682" s="1" t="s">
        <v>22</v>
      </c>
      <c r="F682" s="1">
        <v>7</v>
      </c>
      <c r="G682" s="1">
        <v>670.78</v>
      </c>
      <c r="H682" s="1">
        <v>468.43</v>
      </c>
      <c r="I682" s="1">
        <f>TablaVentas[[#This Row],[Precio Unitario]]*TablaVentas[[#This Row],[Cantidad]]</f>
        <v>4695.46</v>
      </c>
      <c r="J682" s="1">
        <f>TablaVentas[[#This Row],[Costo Unitario]]*TablaVentas[[#This Row],[Cantidad]]</f>
        <v>3279.01</v>
      </c>
      <c r="K682" s="1">
        <f>TablaVentas[[#This Row],[Total Venta]]-TablaVentas[[#This Row],[Total Costo]]</f>
        <v>1416.4499999999998</v>
      </c>
    </row>
    <row r="683" spans="1:11" x14ac:dyDescent="0.25">
      <c r="A683" s="2">
        <v>45416</v>
      </c>
      <c r="B683" s="1" t="s">
        <v>12</v>
      </c>
      <c r="C683" s="1" t="s">
        <v>13</v>
      </c>
      <c r="D683" s="1" t="s">
        <v>14</v>
      </c>
      <c r="E683" s="1" t="s">
        <v>28</v>
      </c>
      <c r="F683" s="1">
        <v>3</v>
      </c>
      <c r="G683" s="1">
        <v>64.64</v>
      </c>
      <c r="H683" s="1">
        <v>45.66</v>
      </c>
      <c r="I683" s="1">
        <f>TablaVentas[[#This Row],[Precio Unitario]]*TablaVentas[[#This Row],[Cantidad]]</f>
        <v>193.92000000000002</v>
      </c>
      <c r="J683" s="1">
        <f>TablaVentas[[#This Row],[Costo Unitario]]*TablaVentas[[#This Row],[Cantidad]]</f>
        <v>136.97999999999999</v>
      </c>
      <c r="K683" s="1">
        <f>TablaVentas[[#This Row],[Total Venta]]-TablaVentas[[#This Row],[Total Costo]]</f>
        <v>56.940000000000026</v>
      </c>
    </row>
    <row r="684" spans="1:11" x14ac:dyDescent="0.25">
      <c r="A684" s="2">
        <v>45416</v>
      </c>
      <c r="B684" s="1" t="s">
        <v>16</v>
      </c>
      <c r="C684" s="1" t="s">
        <v>13</v>
      </c>
      <c r="D684" s="1" t="s">
        <v>25</v>
      </c>
      <c r="E684" s="1" t="s">
        <v>28</v>
      </c>
      <c r="F684" s="1">
        <v>9</v>
      </c>
      <c r="G684" s="1">
        <v>50.4</v>
      </c>
      <c r="H684" s="1">
        <v>32.520000000000003</v>
      </c>
      <c r="I684" s="1">
        <f>TablaVentas[[#This Row],[Precio Unitario]]*TablaVentas[[#This Row],[Cantidad]]</f>
        <v>453.59999999999997</v>
      </c>
      <c r="J684" s="1">
        <f>TablaVentas[[#This Row],[Costo Unitario]]*TablaVentas[[#This Row],[Cantidad]]</f>
        <v>292.68</v>
      </c>
      <c r="K684" s="1">
        <f>TablaVentas[[#This Row],[Total Venta]]-TablaVentas[[#This Row],[Total Costo]]</f>
        <v>160.91999999999996</v>
      </c>
    </row>
    <row r="685" spans="1:11" x14ac:dyDescent="0.25">
      <c r="A685" s="2">
        <v>45417</v>
      </c>
      <c r="B685" s="1" t="s">
        <v>34</v>
      </c>
      <c r="C685" s="1" t="s">
        <v>13</v>
      </c>
      <c r="D685" s="1" t="s">
        <v>24</v>
      </c>
      <c r="E685" s="1" t="s">
        <v>11</v>
      </c>
      <c r="F685" s="1">
        <v>5</v>
      </c>
      <c r="G685" s="1">
        <v>272.69</v>
      </c>
      <c r="H685" s="1">
        <v>197.42</v>
      </c>
      <c r="I685" s="1">
        <f>TablaVentas[[#This Row],[Precio Unitario]]*TablaVentas[[#This Row],[Cantidad]]</f>
        <v>1363.45</v>
      </c>
      <c r="J685" s="1">
        <f>TablaVentas[[#This Row],[Costo Unitario]]*TablaVentas[[#This Row],[Cantidad]]</f>
        <v>987.09999999999991</v>
      </c>
      <c r="K685" s="1">
        <f>TablaVentas[[#This Row],[Total Venta]]-TablaVentas[[#This Row],[Total Costo]]</f>
        <v>376.35000000000014</v>
      </c>
    </row>
    <row r="686" spans="1:11" x14ac:dyDescent="0.25">
      <c r="A686" s="2">
        <v>45417</v>
      </c>
      <c r="B686" s="1" t="s">
        <v>23</v>
      </c>
      <c r="C686" s="1" t="s">
        <v>9</v>
      </c>
      <c r="D686" s="1" t="s">
        <v>14</v>
      </c>
      <c r="E686" s="1" t="s">
        <v>20</v>
      </c>
      <c r="F686" s="1">
        <v>10</v>
      </c>
      <c r="G686" s="1">
        <v>82.95</v>
      </c>
      <c r="H686" s="1">
        <v>42.06</v>
      </c>
      <c r="I686" s="1">
        <f>TablaVentas[[#This Row],[Precio Unitario]]*TablaVentas[[#This Row],[Cantidad]]</f>
        <v>829.5</v>
      </c>
      <c r="J686" s="1">
        <f>TablaVentas[[#This Row],[Costo Unitario]]*TablaVentas[[#This Row],[Cantidad]]</f>
        <v>420.6</v>
      </c>
      <c r="K686" s="1">
        <f>TablaVentas[[#This Row],[Total Venta]]-TablaVentas[[#This Row],[Total Costo]]</f>
        <v>408.9</v>
      </c>
    </row>
    <row r="687" spans="1:11" x14ac:dyDescent="0.25">
      <c r="A687" s="2">
        <v>45417</v>
      </c>
      <c r="B687" s="1" t="s">
        <v>21</v>
      </c>
      <c r="C687" s="1" t="s">
        <v>19</v>
      </c>
      <c r="D687" s="1" t="s">
        <v>14</v>
      </c>
      <c r="E687" s="1" t="s">
        <v>11</v>
      </c>
      <c r="F687" s="1">
        <v>1</v>
      </c>
      <c r="G687" s="1">
        <v>100.88</v>
      </c>
      <c r="H687" s="1">
        <v>49.64</v>
      </c>
      <c r="I687" s="1">
        <f>TablaVentas[[#This Row],[Precio Unitario]]*TablaVentas[[#This Row],[Cantidad]]</f>
        <v>100.88</v>
      </c>
      <c r="J687" s="1">
        <f>TablaVentas[[#This Row],[Costo Unitario]]*TablaVentas[[#This Row],[Cantidad]]</f>
        <v>49.64</v>
      </c>
      <c r="K687" s="1">
        <f>TablaVentas[[#This Row],[Total Venta]]-TablaVentas[[#This Row],[Total Costo]]</f>
        <v>51.239999999999995</v>
      </c>
    </row>
    <row r="688" spans="1:11" x14ac:dyDescent="0.25">
      <c r="A688" s="2">
        <v>45417</v>
      </c>
      <c r="B688" s="1" t="s">
        <v>34</v>
      </c>
      <c r="C688" s="1" t="s">
        <v>13</v>
      </c>
      <c r="D688" s="1" t="s">
        <v>17</v>
      </c>
      <c r="E688" s="1" t="s">
        <v>28</v>
      </c>
      <c r="F688" s="1">
        <v>1</v>
      </c>
      <c r="G688" s="1">
        <v>294.14</v>
      </c>
      <c r="H688" s="1">
        <v>205.59</v>
      </c>
      <c r="I688" s="1">
        <f>TablaVentas[[#This Row],[Precio Unitario]]*TablaVentas[[#This Row],[Cantidad]]</f>
        <v>294.14</v>
      </c>
      <c r="J688" s="1">
        <f>TablaVentas[[#This Row],[Costo Unitario]]*TablaVentas[[#This Row],[Cantidad]]</f>
        <v>205.59</v>
      </c>
      <c r="K688" s="1">
        <f>TablaVentas[[#This Row],[Total Venta]]-TablaVentas[[#This Row],[Total Costo]]</f>
        <v>88.549999999999983</v>
      </c>
    </row>
    <row r="689" spans="1:11" x14ac:dyDescent="0.25">
      <c r="A689" s="2">
        <v>45417</v>
      </c>
      <c r="B689" s="1" t="s">
        <v>18</v>
      </c>
      <c r="C689" s="1" t="s">
        <v>19</v>
      </c>
      <c r="D689" s="1" t="s">
        <v>33</v>
      </c>
      <c r="E689" s="1" t="s">
        <v>11</v>
      </c>
      <c r="F689" s="1">
        <v>2</v>
      </c>
      <c r="G689" s="1">
        <v>1373.68</v>
      </c>
      <c r="H689" s="1">
        <v>840.07</v>
      </c>
      <c r="I689" s="1">
        <f>TablaVentas[[#This Row],[Precio Unitario]]*TablaVentas[[#This Row],[Cantidad]]</f>
        <v>2747.36</v>
      </c>
      <c r="J689" s="1">
        <f>TablaVentas[[#This Row],[Costo Unitario]]*TablaVentas[[#This Row],[Cantidad]]</f>
        <v>1680.14</v>
      </c>
      <c r="K689" s="1">
        <f>TablaVentas[[#This Row],[Total Venta]]-TablaVentas[[#This Row],[Total Costo]]</f>
        <v>1067.22</v>
      </c>
    </row>
    <row r="690" spans="1:11" x14ac:dyDescent="0.25">
      <c r="A690" s="2">
        <v>45418</v>
      </c>
      <c r="B690" s="1" t="s">
        <v>18</v>
      </c>
      <c r="C690" s="1" t="s">
        <v>19</v>
      </c>
      <c r="D690" s="1" t="s">
        <v>14</v>
      </c>
      <c r="E690" s="1" t="s">
        <v>22</v>
      </c>
      <c r="F690" s="1">
        <v>4</v>
      </c>
      <c r="G690" s="1">
        <v>1062.21</v>
      </c>
      <c r="H690" s="1">
        <v>837.34</v>
      </c>
      <c r="I690" s="1">
        <f>TablaVentas[[#This Row],[Precio Unitario]]*TablaVentas[[#This Row],[Cantidad]]</f>
        <v>4248.84</v>
      </c>
      <c r="J690" s="1">
        <f>TablaVentas[[#This Row],[Costo Unitario]]*TablaVentas[[#This Row],[Cantidad]]</f>
        <v>3349.36</v>
      </c>
      <c r="K690" s="1">
        <f>TablaVentas[[#This Row],[Total Venta]]-TablaVentas[[#This Row],[Total Costo]]</f>
        <v>899.48</v>
      </c>
    </row>
    <row r="691" spans="1:11" x14ac:dyDescent="0.25">
      <c r="A691" s="2">
        <v>45419</v>
      </c>
      <c r="B691" s="1" t="s">
        <v>16</v>
      </c>
      <c r="C691" s="1" t="s">
        <v>13</v>
      </c>
      <c r="D691" s="1" t="s">
        <v>24</v>
      </c>
      <c r="E691" s="1" t="s">
        <v>20</v>
      </c>
      <c r="F691" s="1">
        <v>2</v>
      </c>
      <c r="G691" s="1">
        <v>62.49</v>
      </c>
      <c r="H691" s="1">
        <v>37.08</v>
      </c>
      <c r="I691" s="1">
        <f>TablaVentas[[#This Row],[Precio Unitario]]*TablaVentas[[#This Row],[Cantidad]]</f>
        <v>124.98</v>
      </c>
      <c r="J691" s="1">
        <f>TablaVentas[[#This Row],[Costo Unitario]]*TablaVentas[[#This Row],[Cantidad]]</f>
        <v>74.16</v>
      </c>
      <c r="K691" s="1">
        <f>TablaVentas[[#This Row],[Total Venta]]-TablaVentas[[#This Row],[Total Costo]]</f>
        <v>50.820000000000007</v>
      </c>
    </row>
    <row r="692" spans="1:11" x14ac:dyDescent="0.25">
      <c r="A692" s="2">
        <v>45419</v>
      </c>
      <c r="B692" s="1" t="s">
        <v>16</v>
      </c>
      <c r="C692" s="1" t="s">
        <v>13</v>
      </c>
      <c r="D692" s="1" t="s">
        <v>25</v>
      </c>
      <c r="E692" s="1" t="s">
        <v>11</v>
      </c>
      <c r="F692" s="1">
        <v>5</v>
      </c>
      <c r="G692" s="1">
        <v>58.62</v>
      </c>
      <c r="H692" s="1">
        <v>33.29</v>
      </c>
      <c r="I692" s="1">
        <f>TablaVentas[[#This Row],[Precio Unitario]]*TablaVentas[[#This Row],[Cantidad]]</f>
        <v>293.09999999999997</v>
      </c>
      <c r="J692" s="1">
        <f>TablaVentas[[#This Row],[Costo Unitario]]*TablaVentas[[#This Row],[Cantidad]]</f>
        <v>166.45</v>
      </c>
      <c r="K692" s="1">
        <f>TablaVentas[[#This Row],[Total Venta]]-TablaVentas[[#This Row],[Total Costo]]</f>
        <v>126.64999999999998</v>
      </c>
    </row>
    <row r="693" spans="1:11" x14ac:dyDescent="0.25">
      <c r="A693" s="2">
        <v>45420</v>
      </c>
      <c r="B693" s="1" t="s">
        <v>18</v>
      </c>
      <c r="C693" s="1" t="s">
        <v>19</v>
      </c>
      <c r="D693" s="1" t="s">
        <v>10</v>
      </c>
      <c r="E693" s="1" t="s">
        <v>15</v>
      </c>
      <c r="F693" s="1">
        <v>2</v>
      </c>
      <c r="G693" s="1">
        <v>1307.5999999999999</v>
      </c>
      <c r="H693" s="1">
        <v>813.36</v>
      </c>
      <c r="I693" s="1">
        <f>TablaVentas[[#This Row],[Precio Unitario]]*TablaVentas[[#This Row],[Cantidad]]</f>
        <v>2615.1999999999998</v>
      </c>
      <c r="J693" s="1">
        <f>TablaVentas[[#This Row],[Costo Unitario]]*TablaVentas[[#This Row],[Cantidad]]</f>
        <v>1626.72</v>
      </c>
      <c r="K693" s="1">
        <f>TablaVentas[[#This Row],[Total Venta]]-TablaVentas[[#This Row],[Total Costo]]</f>
        <v>988.47999999999979</v>
      </c>
    </row>
    <row r="694" spans="1:11" x14ac:dyDescent="0.25">
      <c r="A694" s="2">
        <v>45421</v>
      </c>
      <c r="B694" s="1" t="s">
        <v>32</v>
      </c>
      <c r="C694" s="1" t="s">
        <v>30</v>
      </c>
      <c r="D694" s="1" t="s">
        <v>27</v>
      </c>
      <c r="E694" s="1" t="s">
        <v>20</v>
      </c>
      <c r="F694" s="1">
        <v>7</v>
      </c>
      <c r="G694" s="1">
        <v>351.12</v>
      </c>
      <c r="H694" s="1">
        <v>222.17</v>
      </c>
      <c r="I694" s="1">
        <f>TablaVentas[[#This Row],[Precio Unitario]]*TablaVentas[[#This Row],[Cantidad]]</f>
        <v>2457.84</v>
      </c>
      <c r="J694" s="1">
        <f>TablaVentas[[#This Row],[Costo Unitario]]*TablaVentas[[#This Row],[Cantidad]]</f>
        <v>1555.1899999999998</v>
      </c>
      <c r="K694" s="1">
        <f>TablaVentas[[#This Row],[Total Venta]]-TablaVentas[[#This Row],[Total Costo]]</f>
        <v>902.65000000000032</v>
      </c>
    </row>
    <row r="695" spans="1:11" x14ac:dyDescent="0.25">
      <c r="A695" s="2">
        <v>45422</v>
      </c>
      <c r="B695" s="1" t="s">
        <v>16</v>
      </c>
      <c r="C695" s="1" t="s">
        <v>13</v>
      </c>
      <c r="D695" s="1" t="s">
        <v>27</v>
      </c>
      <c r="E695" s="1" t="s">
        <v>22</v>
      </c>
      <c r="F695" s="1">
        <v>7</v>
      </c>
      <c r="G695" s="1">
        <v>59.64</v>
      </c>
      <c r="H695" s="1">
        <v>33.22</v>
      </c>
      <c r="I695" s="1">
        <f>TablaVentas[[#This Row],[Precio Unitario]]*TablaVentas[[#This Row],[Cantidad]]</f>
        <v>417.48</v>
      </c>
      <c r="J695" s="1">
        <f>TablaVentas[[#This Row],[Costo Unitario]]*TablaVentas[[#This Row],[Cantidad]]</f>
        <v>232.54</v>
      </c>
      <c r="K695" s="1">
        <f>TablaVentas[[#This Row],[Total Venta]]-TablaVentas[[#This Row],[Total Costo]]</f>
        <v>184.94000000000003</v>
      </c>
    </row>
    <row r="696" spans="1:11" x14ac:dyDescent="0.25">
      <c r="A696" s="2">
        <v>45423</v>
      </c>
      <c r="B696" s="1" t="s">
        <v>26</v>
      </c>
      <c r="C696" s="1" t="s">
        <v>19</v>
      </c>
      <c r="D696" s="1" t="s">
        <v>17</v>
      </c>
      <c r="E696" s="1" t="s">
        <v>20</v>
      </c>
      <c r="F696" s="1">
        <v>9</v>
      </c>
      <c r="G696" s="1">
        <v>44.71</v>
      </c>
      <c r="H696" s="1">
        <v>24.93</v>
      </c>
      <c r="I696" s="1">
        <f>TablaVentas[[#This Row],[Precio Unitario]]*TablaVentas[[#This Row],[Cantidad]]</f>
        <v>402.39</v>
      </c>
      <c r="J696" s="1">
        <f>TablaVentas[[#This Row],[Costo Unitario]]*TablaVentas[[#This Row],[Cantidad]]</f>
        <v>224.37</v>
      </c>
      <c r="K696" s="1">
        <f>TablaVentas[[#This Row],[Total Venta]]-TablaVentas[[#This Row],[Total Costo]]</f>
        <v>178.01999999999998</v>
      </c>
    </row>
    <row r="697" spans="1:11" x14ac:dyDescent="0.25">
      <c r="A697" s="2">
        <v>45425</v>
      </c>
      <c r="B697" s="1" t="s">
        <v>16</v>
      </c>
      <c r="C697" s="1" t="s">
        <v>13</v>
      </c>
      <c r="D697" s="1" t="s">
        <v>31</v>
      </c>
      <c r="E697" s="1" t="s">
        <v>20</v>
      </c>
      <c r="F697" s="1">
        <v>9</v>
      </c>
      <c r="G697" s="1">
        <v>47.7</v>
      </c>
      <c r="H697" s="1">
        <v>33.56</v>
      </c>
      <c r="I697" s="1">
        <f>TablaVentas[[#This Row],[Precio Unitario]]*TablaVentas[[#This Row],[Cantidad]]</f>
        <v>429.3</v>
      </c>
      <c r="J697" s="1">
        <f>TablaVentas[[#This Row],[Costo Unitario]]*TablaVentas[[#This Row],[Cantidad]]</f>
        <v>302.04000000000002</v>
      </c>
      <c r="K697" s="1">
        <f>TablaVentas[[#This Row],[Total Venta]]-TablaVentas[[#This Row],[Total Costo]]</f>
        <v>127.25999999999999</v>
      </c>
    </row>
    <row r="698" spans="1:11" x14ac:dyDescent="0.25">
      <c r="A698" s="2">
        <v>45427</v>
      </c>
      <c r="B698" s="1" t="s">
        <v>32</v>
      </c>
      <c r="C698" s="1" t="s">
        <v>30</v>
      </c>
      <c r="D698" s="1" t="s">
        <v>33</v>
      </c>
      <c r="E698" s="1" t="s">
        <v>22</v>
      </c>
      <c r="F698" s="1">
        <v>1</v>
      </c>
      <c r="G698" s="1">
        <v>316.32</v>
      </c>
      <c r="H698" s="1">
        <v>210.59</v>
      </c>
      <c r="I698" s="1">
        <f>TablaVentas[[#This Row],[Precio Unitario]]*TablaVentas[[#This Row],[Cantidad]]</f>
        <v>316.32</v>
      </c>
      <c r="J698" s="1">
        <f>TablaVentas[[#This Row],[Costo Unitario]]*TablaVentas[[#This Row],[Cantidad]]</f>
        <v>210.59</v>
      </c>
      <c r="K698" s="1">
        <f>TablaVentas[[#This Row],[Total Venta]]-TablaVentas[[#This Row],[Total Costo]]</f>
        <v>105.72999999999999</v>
      </c>
    </row>
    <row r="699" spans="1:11" x14ac:dyDescent="0.25">
      <c r="A699" s="2">
        <v>45428</v>
      </c>
      <c r="B699" s="1" t="s">
        <v>8</v>
      </c>
      <c r="C699" s="1" t="s">
        <v>9</v>
      </c>
      <c r="D699" s="1" t="s">
        <v>25</v>
      </c>
      <c r="E699" s="1" t="s">
        <v>20</v>
      </c>
      <c r="F699" s="1">
        <v>8</v>
      </c>
      <c r="G699" s="1">
        <v>715.13</v>
      </c>
      <c r="H699" s="1">
        <v>482.22</v>
      </c>
      <c r="I699" s="1">
        <f>TablaVentas[[#This Row],[Precio Unitario]]*TablaVentas[[#This Row],[Cantidad]]</f>
        <v>5721.04</v>
      </c>
      <c r="J699" s="1">
        <f>TablaVentas[[#This Row],[Costo Unitario]]*TablaVentas[[#This Row],[Cantidad]]</f>
        <v>3857.76</v>
      </c>
      <c r="K699" s="1">
        <f>TablaVentas[[#This Row],[Total Venta]]-TablaVentas[[#This Row],[Total Costo]]</f>
        <v>1863.2799999999997</v>
      </c>
    </row>
    <row r="700" spans="1:11" x14ac:dyDescent="0.25">
      <c r="A700" s="2">
        <v>45428</v>
      </c>
      <c r="B700" s="1" t="s">
        <v>23</v>
      </c>
      <c r="C700" s="1" t="s">
        <v>9</v>
      </c>
      <c r="D700" s="1" t="s">
        <v>31</v>
      </c>
      <c r="E700" s="1" t="s">
        <v>22</v>
      </c>
      <c r="F700" s="1">
        <v>8</v>
      </c>
      <c r="G700" s="1">
        <v>76.180000000000007</v>
      </c>
      <c r="H700" s="1">
        <v>45.72</v>
      </c>
      <c r="I700" s="1">
        <f>TablaVentas[[#This Row],[Precio Unitario]]*TablaVentas[[#This Row],[Cantidad]]</f>
        <v>609.44000000000005</v>
      </c>
      <c r="J700" s="1">
        <f>TablaVentas[[#This Row],[Costo Unitario]]*TablaVentas[[#This Row],[Cantidad]]</f>
        <v>365.76</v>
      </c>
      <c r="K700" s="1">
        <f>TablaVentas[[#This Row],[Total Venta]]-TablaVentas[[#This Row],[Total Costo]]</f>
        <v>243.68000000000006</v>
      </c>
    </row>
    <row r="701" spans="1:11" x14ac:dyDescent="0.25">
      <c r="A701" s="2">
        <v>45429</v>
      </c>
      <c r="B701" s="1" t="s">
        <v>26</v>
      </c>
      <c r="C701" s="1" t="s">
        <v>19</v>
      </c>
      <c r="D701" s="1" t="s">
        <v>27</v>
      </c>
      <c r="E701" s="1" t="s">
        <v>22</v>
      </c>
      <c r="F701" s="1">
        <v>7</v>
      </c>
      <c r="G701" s="1">
        <v>50.2</v>
      </c>
      <c r="H701" s="1">
        <v>23.14</v>
      </c>
      <c r="I701" s="1">
        <f>TablaVentas[[#This Row],[Precio Unitario]]*TablaVentas[[#This Row],[Cantidad]]</f>
        <v>351.40000000000003</v>
      </c>
      <c r="J701" s="1">
        <f>TablaVentas[[#This Row],[Costo Unitario]]*TablaVentas[[#This Row],[Cantidad]]</f>
        <v>161.98000000000002</v>
      </c>
      <c r="K701" s="1">
        <f>TablaVentas[[#This Row],[Total Venta]]-TablaVentas[[#This Row],[Total Costo]]</f>
        <v>189.42000000000002</v>
      </c>
    </row>
    <row r="702" spans="1:11" x14ac:dyDescent="0.25">
      <c r="A702" s="2">
        <v>45430</v>
      </c>
      <c r="B702" s="1" t="s">
        <v>16</v>
      </c>
      <c r="C702" s="1" t="s">
        <v>13</v>
      </c>
      <c r="D702" s="1" t="s">
        <v>27</v>
      </c>
      <c r="E702" s="1" t="s">
        <v>15</v>
      </c>
      <c r="F702" s="1">
        <v>10</v>
      </c>
      <c r="G702" s="1">
        <v>60.71</v>
      </c>
      <c r="H702" s="1">
        <v>32.799999999999997</v>
      </c>
      <c r="I702" s="1">
        <f>TablaVentas[[#This Row],[Precio Unitario]]*TablaVentas[[#This Row],[Cantidad]]</f>
        <v>607.1</v>
      </c>
      <c r="J702" s="1">
        <f>TablaVentas[[#This Row],[Costo Unitario]]*TablaVentas[[#This Row],[Cantidad]]</f>
        <v>328</v>
      </c>
      <c r="K702" s="1">
        <f>TablaVentas[[#This Row],[Total Venta]]-TablaVentas[[#This Row],[Total Costo]]</f>
        <v>279.10000000000002</v>
      </c>
    </row>
    <row r="703" spans="1:11" x14ac:dyDescent="0.25">
      <c r="A703" s="2">
        <v>45431</v>
      </c>
      <c r="B703" s="1" t="s">
        <v>29</v>
      </c>
      <c r="C703" s="1" t="s">
        <v>30</v>
      </c>
      <c r="D703" s="1" t="s">
        <v>33</v>
      </c>
      <c r="E703" s="1" t="s">
        <v>15</v>
      </c>
      <c r="F703" s="1">
        <v>5</v>
      </c>
      <c r="G703" s="1">
        <v>473.14</v>
      </c>
      <c r="H703" s="1">
        <v>311.97000000000003</v>
      </c>
      <c r="I703" s="1">
        <f>TablaVentas[[#This Row],[Precio Unitario]]*TablaVentas[[#This Row],[Cantidad]]</f>
        <v>2365.6999999999998</v>
      </c>
      <c r="J703" s="1">
        <f>TablaVentas[[#This Row],[Costo Unitario]]*TablaVentas[[#This Row],[Cantidad]]</f>
        <v>1559.8500000000001</v>
      </c>
      <c r="K703" s="1">
        <f>TablaVentas[[#This Row],[Total Venta]]-TablaVentas[[#This Row],[Total Costo]]</f>
        <v>805.84999999999968</v>
      </c>
    </row>
    <row r="704" spans="1:11" x14ac:dyDescent="0.25">
      <c r="A704" s="2">
        <v>45432</v>
      </c>
      <c r="B704" s="1" t="s">
        <v>26</v>
      </c>
      <c r="C704" s="1" t="s">
        <v>19</v>
      </c>
      <c r="D704" s="1" t="s">
        <v>31</v>
      </c>
      <c r="E704" s="1" t="s">
        <v>11</v>
      </c>
      <c r="F704" s="1">
        <v>4</v>
      </c>
      <c r="G704" s="1">
        <v>45.8</v>
      </c>
      <c r="H704" s="1">
        <v>24.05</v>
      </c>
      <c r="I704" s="1">
        <f>TablaVentas[[#This Row],[Precio Unitario]]*TablaVentas[[#This Row],[Cantidad]]</f>
        <v>183.2</v>
      </c>
      <c r="J704" s="1">
        <f>TablaVentas[[#This Row],[Costo Unitario]]*TablaVentas[[#This Row],[Cantidad]]</f>
        <v>96.2</v>
      </c>
      <c r="K704" s="1">
        <f>TablaVentas[[#This Row],[Total Venta]]-TablaVentas[[#This Row],[Total Costo]]</f>
        <v>86.999999999999986</v>
      </c>
    </row>
    <row r="705" spans="1:11" x14ac:dyDescent="0.25">
      <c r="A705" s="2">
        <v>45432</v>
      </c>
      <c r="B705" s="1" t="s">
        <v>23</v>
      </c>
      <c r="C705" s="1" t="s">
        <v>9</v>
      </c>
      <c r="D705" s="1" t="s">
        <v>33</v>
      </c>
      <c r="E705" s="1" t="s">
        <v>28</v>
      </c>
      <c r="F705" s="1">
        <v>8</v>
      </c>
      <c r="G705" s="1">
        <v>73.48</v>
      </c>
      <c r="H705" s="1">
        <v>48.86</v>
      </c>
      <c r="I705" s="1">
        <f>TablaVentas[[#This Row],[Precio Unitario]]*TablaVentas[[#This Row],[Cantidad]]</f>
        <v>587.84</v>
      </c>
      <c r="J705" s="1">
        <f>TablaVentas[[#This Row],[Costo Unitario]]*TablaVentas[[#This Row],[Cantidad]]</f>
        <v>390.88</v>
      </c>
      <c r="K705" s="1">
        <f>TablaVentas[[#This Row],[Total Venta]]-TablaVentas[[#This Row],[Total Costo]]</f>
        <v>196.96000000000004</v>
      </c>
    </row>
    <row r="706" spans="1:11" x14ac:dyDescent="0.25">
      <c r="A706" s="2">
        <v>45433</v>
      </c>
      <c r="B706" s="1" t="s">
        <v>34</v>
      </c>
      <c r="C706" s="1" t="s">
        <v>13</v>
      </c>
      <c r="D706" s="1" t="s">
        <v>27</v>
      </c>
      <c r="E706" s="1" t="s">
        <v>28</v>
      </c>
      <c r="F706" s="1">
        <v>1</v>
      </c>
      <c r="G706" s="1">
        <v>258.83999999999997</v>
      </c>
      <c r="H706" s="1">
        <v>207.12</v>
      </c>
      <c r="I706" s="1">
        <f>TablaVentas[[#This Row],[Precio Unitario]]*TablaVentas[[#This Row],[Cantidad]]</f>
        <v>258.83999999999997</v>
      </c>
      <c r="J706" s="1">
        <f>TablaVentas[[#This Row],[Costo Unitario]]*TablaVentas[[#This Row],[Cantidad]]</f>
        <v>207.12</v>
      </c>
      <c r="K706" s="1">
        <f>TablaVentas[[#This Row],[Total Venta]]-TablaVentas[[#This Row],[Total Costo]]</f>
        <v>51.71999999999997</v>
      </c>
    </row>
    <row r="707" spans="1:11" x14ac:dyDescent="0.25">
      <c r="A707" s="2">
        <v>45434</v>
      </c>
      <c r="B707" s="1" t="s">
        <v>8</v>
      </c>
      <c r="C707" s="1" t="s">
        <v>9</v>
      </c>
      <c r="D707" s="1" t="s">
        <v>25</v>
      </c>
      <c r="E707" s="1" t="s">
        <v>28</v>
      </c>
      <c r="F707" s="1">
        <v>5</v>
      </c>
      <c r="G707" s="1">
        <v>758.76</v>
      </c>
      <c r="H707" s="1">
        <v>483.18</v>
      </c>
      <c r="I707" s="1">
        <f>TablaVentas[[#This Row],[Precio Unitario]]*TablaVentas[[#This Row],[Cantidad]]</f>
        <v>3793.8</v>
      </c>
      <c r="J707" s="1">
        <f>TablaVentas[[#This Row],[Costo Unitario]]*TablaVentas[[#This Row],[Cantidad]]</f>
        <v>2415.9</v>
      </c>
      <c r="K707" s="1">
        <f>TablaVentas[[#This Row],[Total Venta]]-TablaVentas[[#This Row],[Total Costo]]</f>
        <v>1377.9</v>
      </c>
    </row>
    <row r="708" spans="1:11" x14ac:dyDescent="0.25">
      <c r="A708" s="2">
        <v>45435</v>
      </c>
      <c r="B708" s="1" t="s">
        <v>29</v>
      </c>
      <c r="C708" s="1" t="s">
        <v>30</v>
      </c>
      <c r="D708" s="1" t="s">
        <v>31</v>
      </c>
      <c r="E708" s="1" t="s">
        <v>15</v>
      </c>
      <c r="F708" s="1">
        <v>2</v>
      </c>
      <c r="G708" s="1">
        <v>451.31</v>
      </c>
      <c r="H708" s="1">
        <v>304.18</v>
      </c>
      <c r="I708" s="1">
        <f>TablaVentas[[#This Row],[Precio Unitario]]*TablaVentas[[#This Row],[Cantidad]]</f>
        <v>902.62</v>
      </c>
      <c r="J708" s="1">
        <f>TablaVentas[[#This Row],[Costo Unitario]]*TablaVentas[[#This Row],[Cantidad]]</f>
        <v>608.36</v>
      </c>
      <c r="K708" s="1">
        <f>TablaVentas[[#This Row],[Total Venta]]-TablaVentas[[#This Row],[Total Costo]]</f>
        <v>294.26</v>
      </c>
    </row>
    <row r="709" spans="1:11" x14ac:dyDescent="0.25">
      <c r="A709" s="2">
        <v>45436</v>
      </c>
      <c r="B709" s="1" t="s">
        <v>26</v>
      </c>
      <c r="C709" s="1" t="s">
        <v>19</v>
      </c>
      <c r="D709" s="1" t="s">
        <v>27</v>
      </c>
      <c r="E709" s="1" t="s">
        <v>15</v>
      </c>
      <c r="F709" s="1">
        <v>8</v>
      </c>
      <c r="G709" s="1">
        <v>50.8</v>
      </c>
      <c r="H709" s="1">
        <v>23.05</v>
      </c>
      <c r="I709" s="1">
        <f>TablaVentas[[#This Row],[Precio Unitario]]*TablaVentas[[#This Row],[Cantidad]]</f>
        <v>406.4</v>
      </c>
      <c r="J709" s="1">
        <f>TablaVentas[[#This Row],[Costo Unitario]]*TablaVentas[[#This Row],[Cantidad]]</f>
        <v>184.4</v>
      </c>
      <c r="K709" s="1">
        <f>TablaVentas[[#This Row],[Total Venta]]-TablaVentas[[#This Row],[Total Costo]]</f>
        <v>221.99999999999997</v>
      </c>
    </row>
    <row r="710" spans="1:11" x14ac:dyDescent="0.25">
      <c r="A710" s="2">
        <v>45437</v>
      </c>
      <c r="B710" s="1" t="s">
        <v>23</v>
      </c>
      <c r="C710" s="1" t="s">
        <v>9</v>
      </c>
      <c r="D710" s="1" t="s">
        <v>27</v>
      </c>
      <c r="E710" s="1" t="s">
        <v>20</v>
      </c>
      <c r="F710" s="1">
        <v>8</v>
      </c>
      <c r="G710" s="1">
        <v>82.52</v>
      </c>
      <c r="H710" s="1">
        <v>48.54</v>
      </c>
      <c r="I710" s="1">
        <f>TablaVentas[[#This Row],[Precio Unitario]]*TablaVentas[[#This Row],[Cantidad]]</f>
        <v>660.16</v>
      </c>
      <c r="J710" s="1">
        <f>TablaVentas[[#This Row],[Costo Unitario]]*TablaVentas[[#This Row],[Cantidad]]</f>
        <v>388.32</v>
      </c>
      <c r="K710" s="1">
        <f>TablaVentas[[#This Row],[Total Venta]]-TablaVentas[[#This Row],[Total Costo]]</f>
        <v>271.83999999999997</v>
      </c>
    </row>
    <row r="711" spans="1:11" x14ac:dyDescent="0.25">
      <c r="A711" s="2">
        <v>45437</v>
      </c>
      <c r="B711" s="1" t="s">
        <v>12</v>
      </c>
      <c r="C711" s="1" t="s">
        <v>13</v>
      </c>
      <c r="D711" s="1" t="s">
        <v>17</v>
      </c>
      <c r="E711" s="1" t="s">
        <v>15</v>
      </c>
      <c r="F711" s="1">
        <v>5</v>
      </c>
      <c r="G711" s="1">
        <v>60.35</v>
      </c>
      <c r="H711" s="1">
        <v>39.659999999999997</v>
      </c>
      <c r="I711" s="1">
        <f>TablaVentas[[#This Row],[Precio Unitario]]*TablaVentas[[#This Row],[Cantidad]]</f>
        <v>301.75</v>
      </c>
      <c r="J711" s="1">
        <f>TablaVentas[[#This Row],[Costo Unitario]]*TablaVentas[[#This Row],[Cantidad]]</f>
        <v>198.29999999999998</v>
      </c>
      <c r="K711" s="1">
        <f>TablaVentas[[#This Row],[Total Venta]]-TablaVentas[[#This Row],[Total Costo]]</f>
        <v>103.45000000000002</v>
      </c>
    </row>
    <row r="712" spans="1:11" x14ac:dyDescent="0.25">
      <c r="A712" s="2">
        <v>45437</v>
      </c>
      <c r="B712" s="1" t="s">
        <v>21</v>
      </c>
      <c r="C712" s="1" t="s">
        <v>19</v>
      </c>
      <c r="D712" s="1" t="s">
        <v>10</v>
      </c>
      <c r="E712" s="1" t="s">
        <v>28</v>
      </c>
      <c r="F712" s="1">
        <v>10</v>
      </c>
      <c r="G712" s="1">
        <v>83.46</v>
      </c>
      <c r="H712" s="1">
        <v>53.5</v>
      </c>
      <c r="I712" s="1">
        <f>TablaVentas[[#This Row],[Precio Unitario]]*TablaVentas[[#This Row],[Cantidad]]</f>
        <v>834.59999999999991</v>
      </c>
      <c r="J712" s="1">
        <f>TablaVentas[[#This Row],[Costo Unitario]]*TablaVentas[[#This Row],[Cantidad]]</f>
        <v>535</v>
      </c>
      <c r="K712" s="1">
        <f>TablaVentas[[#This Row],[Total Venta]]-TablaVentas[[#This Row],[Total Costo]]</f>
        <v>299.59999999999991</v>
      </c>
    </row>
    <row r="713" spans="1:11" x14ac:dyDescent="0.25">
      <c r="A713" s="2">
        <v>45438</v>
      </c>
      <c r="B713" s="1" t="s">
        <v>16</v>
      </c>
      <c r="C713" s="1" t="s">
        <v>13</v>
      </c>
      <c r="D713" s="1" t="s">
        <v>14</v>
      </c>
      <c r="E713" s="1" t="s">
        <v>28</v>
      </c>
      <c r="F713" s="1">
        <v>4</v>
      </c>
      <c r="G713" s="1">
        <v>51.34</v>
      </c>
      <c r="H713" s="1">
        <v>31.7</v>
      </c>
      <c r="I713" s="1">
        <f>TablaVentas[[#This Row],[Precio Unitario]]*TablaVentas[[#This Row],[Cantidad]]</f>
        <v>205.36</v>
      </c>
      <c r="J713" s="1">
        <f>TablaVentas[[#This Row],[Costo Unitario]]*TablaVentas[[#This Row],[Cantidad]]</f>
        <v>126.8</v>
      </c>
      <c r="K713" s="1">
        <f>TablaVentas[[#This Row],[Total Venta]]-TablaVentas[[#This Row],[Total Costo]]</f>
        <v>78.560000000000016</v>
      </c>
    </row>
    <row r="714" spans="1:11" x14ac:dyDescent="0.25">
      <c r="A714" s="2">
        <v>45439</v>
      </c>
      <c r="B714" s="1" t="s">
        <v>21</v>
      </c>
      <c r="C714" s="1" t="s">
        <v>19</v>
      </c>
      <c r="D714" s="1" t="s">
        <v>33</v>
      </c>
      <c r="E714" s="1" t="s">
        <v>28</v>
      </c>
      <c r="F714" s="1">
        <v>3</v>
      </c>
      <c r="G714" s="1">
        <v>84.66</v>
      </c>
      <c r="H714" s="1">
        <v>49.7</v>
      </c>
      <c r="I714" s="1">
        <f>TablaVentas[[#This Row],[Precio Unitario]]*TablaVentas[[#This Row],[Cantidad]]</f>
        <v>253.98</v>
      </c>
      <c r="J714" s="1">
        <f>TablaVentas[[#This Row],[Costo Unitario]]*TablaVentas[[#This Row],[Cantidad]]</f>
        <v>149.10000000000002</v>
      </c>
      <c r="K714" s="1">
        <f>TablaVentas[[#This Row],[Total Venta]]-TablaVentas[[#This Row],[Total Costo]]</f>
        <v>104.87999999999997</v>
      </c>
    </row>
    <row r="715" spans="1:11" x14ac:dyDescent="0.25">
      <c r="A715" s="2">
        <v>45440</v>
      </c>
      <c r="B715" s="1" t="s">
        <v>23</v>
      </c>
      <c r="C715" s="1" t="s">
        <v>9</v>
      </c>
      <c r="D715" s="1" t="s">
        <v>27</v>
      </c>
      <c r="E715" s="1" t="s">
        <v>11</v>
      </c>
      <c r="F715" s="1">
        <v>6</v>
      </c>
      <c r="G715" s="1">
        <v>72.45</v>
      </c>
      <c r="H715" s="1">
        <v>40.72</v>
      </c>
      <c r="I715" s="1">
        <f>TablaVentas[[#This Row],[Precio Unitario]]*TablaVentas[[#This Row],[Cantidad]]</f>
        <v>434.70000000000005</v>
      </c>
      <c r="J715" s="1">
        <f>TablaVentas[[#This Row],[Costo Unitario]]*TablaVentas[[#This Row],[Cantidad]]</f>
        <v>244.32</v>
      </c>
      <c r="K715" s="1">
        <f>TablaVentas[[#This Row],[Total Venta]]-TablaVentas[[#This Row],[Total Costo]]</f>
        <v>190.38000000000005</v>
      </c>
    </row>
    <row r="716" spans="1:11" x14ac:dyDescent="0.25">
      <c r="A716" s="2">
        <v>45442</v>
      </c>
      <c r="B716" s="1" t="s">
        <v>8</v>
      </c>
      <c r="C716" s="1" t="s">
        <v>9</v>
      </c>
      <c r="D716" s="1" t="s">
        <v>10</v>
      </c>
      <c r="E716" s="1" t="s">
        <v>11</v>
      </c>
      <c r="F716" s="1">
        <v>4</v>
      </c>
      <c r="G716" s="1">
        <v>736.05</v>
      </c>
      <c r="H716" s="1">
        <v>433.35</v>
      </c>
      <c r="I716" s="1">
        <f>TablaVentas[[#This Row],[Precio Unitario]]*TablaVentas[[#This Row],[Cantidad]]</f>
        <v>2944.2</v>
      </c>
      <c r="J716" s="1">
        <f>TablaVentas[[#This Row],[Costo Unitario]]*TablaVentas[[#This Row],[Cantidad]]</f>
        <v>1733.4</v>
      </c>
      <c r="K716" s="1">
        <f>TablaVentas[[#This Row],[Total Venta]]-TablaVentas[[#This Row],[Total Costo]]</f>
        <v>1210.7999999999997</v>
      </c>
    </row>
    <row r="717" spans="1:11" x14ac:dyDescent="0.25">
      <c r="A717" s="2">
        <v>45442</v>
      </c>
      <c r="B717" s="1" t="s">
        <v>16</v>
      </c>
      <c r="C717" s="1" t="s">
        <v>13</v>
      </c>
      <c r="D717" s="1" t="s">
        <v>25</v>
      </c>
      <c r="E717" s="1" t="s">
        <v>11</v>
      </c>
      <c r="F717" s="1">
        <v>9</v>
      </c>
      <c r="G717" s="1">
        <v>47.83</v>
      </c>
      <c r="H717" s="1">
        <v>32.19</v>
      </c>
      <c r="I717" s="1">
        <f>TablaVentas[[#This Row],[Precio Unitario]]*TablaVentas[[#This Row],[Cantidad]]</f>
        <v>430.46999999999997</v>
      </c>
      <c r="J717" s="1">
        <f>TablaVentas[[#This Row],[Costo Unitario]]*TablaVentas[[#This Row],[Cantidad]]</f>
        <v>289.70999999999998</v>
      </c>
      <c r="K717" s="1">
        <f>TablaVentas[[#This Row],[Total Venta]]-TablaVentas[[#This Row],[Total Costo]]</f>
        <v>140.76</v>
      </c>
    </row>
    <row r="718" spans="1:11" x14ac:dyDescent="0.25">
      <c r="A718" s="2">
        <v>45443</v>
      </c>
      <c r="B718" s="1" t="s">
        <v>8</v>
      </c>
      <c r="C718" s="1" t="s">
        <v>9</v>
      </c>
      <c r="D718" s="1" t="s">
        <v>24</v>
      </c>
      <c r="E718" s="1" t="s">
        <v>28</v>
      </c>
      <c r="F718" s="1">
        <v>7</v>
      </c>
      <c r="G718" s="1">
        <v>728.52</v>
      </c>
      <c r="H718" s="1">
        <v>525.53</v>
      </c>
      <c r="I718" s="1">
        <f>TablaVentas[[#This Row],[Precio Unitario]]*TablaVentas[[#This Row],[Cantidad]]</f>
        <v>5099.6399999999994</v>
      </c>
      <c r="J718" s="1">
        <f>TablaVentas[[#This Row],[Costo Unitario]]*TablaVentas[[#This Row],[Cantidad]]</f>
        <v>3678.71</v>
      </c>
      <c r="K718" s="1">
        <f>TablaVentas[[#This Row],[Total Venta]]-TablaVentas[[#This Row],[Total Costo]]</f>
        <v>1420.9299999999994</v>
      </c>
    </row>
    <row r="719" spans="1:11" x14ac:dyDescent="0.25">
      <c r="A719" s="2">
        <v>45443</v>
      </c>
      <c r="B719" s="1" t="s">
        <v>16</v>
      </c>
      <c r="C719" s="1" t="s">
        <v>13</v>
      </c>
      <c r="D719" s="1" t="s">
        <v>10</v>
      </c>
      <c r="E719" s="1" t="s">
        <v>11</v>
      </c>
      <c r="F719" s="1">
        <v>4</v>
      </c>
      <c r="G719" s="1">
        <v>47.41</v>
      </c>
      <c r="H719" s="1">
        <v>32.44</v>
      </c>
      <c r="I719" s="1">
        <f>TablaVentas[[#This Row],[Precio Unitario]]*TablaVentas[[#This Row],[Cantidad]]</f>
        <v>189.64</v>
      </c>
      <c r="J719" s="1">
        <f>TablaVentas[[#This Row],[Costo Unitario]]*TablaVentas[[#This Row],[Cantidad]]</f>
        <v>129.76</v>
      </c>
      <c r="K719" s="1">
        <f>TablaVentas[[#This Row],[Total Venta]]-TablaVentas[[#This Row],[Total Costo]]</f>
        <v>59.879999999999995</v>
      </c>
    </row>
    <row r="720" spans="1:11" x14ac:dyDescent="0.25">
      <c r="A720" s="2">
        <v>45443</v>
      </c>
      <c r="B720" s="1" t="s">
        <v>23</v>
      </c>
      <c r="C720" s="1" t="s">
        <v>9</v>
      </c>
      <c r="D720" s="1" t="s">
        <v>17</v>
      </c>
      <c r="E720" s="1" t="s">
        <v>15</v>
      </c>
      <c r="F720" s="1">
        <v>4</v>
      </c>
      <c r="G720" s="1">
        <v>67.05</v>
      </c>
      <c r="H720" s="1">
        <v>47.14</v>
      </c>
      <c r="I720" s="1">
        <f>TablaVentas[[#This Row],[Precio Unitario]]*TablaVentas[[#This Row],[Cantidad]]</f>
        <v>268.2</v>
      </c>
      <c r="J720" s="1">
        <f>TablaVentas[[#This Row],[Costo Unitario]]*TablaVentas[[#This Row],[Cantidad]]</f>
        <v>188.56</v>
      </c>
      <c r="K720" s="1">
        <f>TablaVentas[[#This Row],[Total Venta]]-TablaVentas[[#This Row],[Total Costo]]</f>
        <v>79.639999999999986</v>
      </c>
    </row>
    <row r="721" spans="1:11" x14ac:dyDescent="0.25">
      <c r="A721" s="2">
        <v>45444</v>
      </c>
      <c r="B721" s="1" t="s">
        <v>12</v>
      </c>
      <c r="C721" s="1" t="s">
        <v>13</v>
      </c>
      <c r="D721" s="1" t="s">
        <v>14</v>
      </c>
      <c r="E721" s="1" t="s">
        <v>22</v>
      </c>
      <c r="F721" s="1">
        <v>3</v>
      </c>
      <c r="G721" s="1">
        <v>59.93</v>
      </c>
      <c r="H721" s="1">
        <v>40.72</v>
      </c>
      <c r="I721" s="1">
        <f>TablaVentas[[#This Row],[Precio Unitario]]*TablaVentas[[#This Row],[Cantidad]]</f>
        <v>179.79</v>
      </c>
      <c r="J721" s="1">
        <f>TablaVentas[[#This Row],[Costo Unitario]]*TablaVentas[[#This Row],[Cantidad]]</f>
        <v>122.16</v>
      </c>
      <c r="K721" s="1">
        <f>TablaVentas[[#This Row],[Total Venta]]-TablaVentas[[#This Row],[Total Costo]]</f>
        <v>57.629999999999995</v>
      </c>
    </row>
    <row r="722" spans="1:11" x14ac:dyDescent="0.25">
      <c r="A722" s="2">
        <v>45444</v>
      </c>
      <c r="B722" s="1" t="s">
        <v>34</v>
      </c>
      <c r="C722" s="1" t="s">
        <v>13</v>
      </c>
      <c r="D722" s="1" t="s">
        <v>25</v>
      </c>
      <c r="E722" s="1" t="s">
        <v>11</v>
      </c>
      <c r="F722" s="1">
        <v>10</v>
      </c>
      <c r="G722" s="1">
        <v>269.39999999999998</v>
      </c>
      <c r="H722" s="1">
        <v>197.8</v>
      </c>
      <c r="I722" s="1">
        <f>TablaVentas[[#This Row],[Precio Unitario]]*TablaVentas[[#This Row],[Cantidad]]</f>
        <v>2694</v>
      </c>
      <c r="J722" s="1">
        <f>TablaVentas[[#This Row],[Costo Unitario]]*TablaVentas[[#This Row],[Cantidad]]</f>
        <v>1978</v>
      </c>
      <c r="K722" s="1">
        <f>TablaVentas[[#This Row],[Total Venta]]-TablaVentas[[#This Row],[Total Costo]]</f>
        <v>716</v>
      </c>
    </row>
    <row r="723" spans="1:11" x14ac:dyDescent="0.25">
      <c r="A723" s="2">
        <v>45445</v>
      </c>
      <c r="B723" s="1" t="s">
        <v>32</v>
      </c>
      <c r="C723" s="1" t="s">
        <v>30</v>
      </c>
      <c r="D723" s="1" t="s">
        <v>14</v>
      </c>
      <c r="E723" s="1" t="s">
        <v>22</v>
      </c>
      <c r="F723" s="1">
        <v>6</v>
      </c>
      <c r="G723" s="1">
        <v>342.08</v>
      </c>
      <c r="H723" s="1">
        <v>197.32</v>
      </c>
      <c r="I723" s="1">
        <f>TablaVentas[[#This Row],[Precio Unitario]]*TablaVentas[[#This Row],[Cantidad]]</f>
        <v>2052.48</v>
      </c>
      <c r="J723" s="1">
        <f>TablaVentas[[#This Row],[Costo Unitario]]*TablaVentas[[#This Row],[Cantidad]]</f>
        <v>1183.92</v>
      </c>
      <c r="K723" s="1">
        <f>TablaVentas[[#This Row],[Total Venta]]-TablaVentas[[#This Row],[Total Costo]]</f>
        <v>868.56</v>
      </c>
    </row>
    <row r="724" spans="1:11" x14ac:dyDescent="0.25">
      <c r="A724" s="2">
        <v>45445</v>
      </c>
      <c r="B724" s="1" t="s">
        <v>18</v>
      </c>
      <c r="C724" s="1" t="s">
        <v>19</v>
      </c>
      <c r="D724" s="1" t="s">
        <v>14</v>
      </c>
      <c r="E724" s="1" t="s">
        <v>28</v>
      </c>
      <c r="F724" s="1">
        <v>1</v>
      </c>
      <c r="G724" s="1">
        <v>1061.05</v>
      </c>
      <c r="H724" s="1">
        <v>933.83</v>
      </c>
      <c r="I724" s="1">
        <f>TablaVentas[[#This Row],[Precio Unitario]]*TablaVentas[[#This Row],[Cantidad]]</f>
        <v>1061.05</v>
      </c>
      <c r="J724" s="1">
        <f>TablaVentas[[#This Row],[Costo Unitario]]*TablaVentas[[#This Row],[Cantidad]]</f>
        <v>933.83</v>
      </c>
      <c r="K724" s="1">
        <f>TablaVentas[[#This Row],[Total Venta]]-TablaVentas[[#This Row],[Total Costo]]</f>
        <v>127.21999999999991</v>
      </c>
    </row>
    <row r="725" spans="1:11" x14ac:dyDescent="0.25">
      <c r="A725" s="2">
        <v>45446</v>
      </c>
      <c r="B725" s="1" t="s">
        <v>21</v>
      </c>
      <c r="C725" s="1" t="s">
        <v>19</v>
      </c>
      <c r="D725" s="1" t="s">
        <v>17</v>
      </c>
      <c r="E725" s="1" t="s">
        <v>20</v>
      </c>
      <c r="F725" s="1">
        <v>1</v>
      </c>
      <c r="G725" s="1">
        <v>88.47</v>
      </c>
      <c r="H725" s="1">
        <v>55.11</v>
      </c>
      <c r="I725" s="1">
        <f>TablaVentas[[#This Row],[Precio Unitario]]*TablaVentas[[#This Row],[Cantidad]]</f>
        <v>88.47</v>
      </c>
      <c r="J725" s="1">
        <f>TablaVentas[[#This Row],[Costo Unitario]]*TablaVentas[[#This Row],[Cantidad]]</f>
        <v>55.11</v>
      </c>
      <c r="K725" s="1">
        <f>TablaVentas[[#This Row],[Total Venta]]-TablaVentas[[#This Row],[Total Costo]]</f>
        <v>33.36</v>
      </c>
    </row>
    <row r="726" spans="1:11" x14ac:dyDescent="0.25">
      <c r="A726" s="2">
        <v>45447</v>
      </c>
      <c r="B726" s="1" t="s">
        <v>21</v>
      </c>
      <c r="C726" s="1" t="s">
        <v>19</v>
      </c>
      <c r="D726" s="1" t="s">
        <v>17</v>
      </c>
      <c r="E726" s="1" t="s">
        <v>15</v>
      </c>
      <c r="F726" s="1">
        <v>3</v>
      </c>
      <c r="G726" s="1">
        <v>84.39</v>
      </c>
      <c r="H726" s="1">
        <v>56.49</v>
      </c>
      <c r="I726" s="1">
        <f>TablaVentas[[#This Row],[Precio Unitario]]*TablaVentas[[#This Row],[Cantidad]]</f>
        <v>253.17000000000002</v>
      </c>
      <c r="J726" s="1">
        <f>TablaVentas[[#This Row],[Costo Unitario]]*TablaVentas[[#This Row],[Cantidad]]</f>
        <v>169.47</v>
      </c>
      <c r="K726" s="1">
        <f>TablaVentas[[#This Row],[Total Venta]]-TablaVentas[[#This Row],[Total Costo]]</f>
        <v>83.700000000000017</v>
      </c>
    </row>
    <row r="727" spans="1:11" x14ac:dyDescent="0.25">
      <c r="A727" s="2">
        <v>45448</v>
      </c>
      <c r="B727" s="1" t="s">
        <v>23</v>
      </c>
      <c r="C727" s="1" t="s">
        <v>9</v>
      </c>
      <c r="D727" s="1" t="s">
        <v>17</v>
      </c>
      <c r="E727" s="1" t="s">
        <v>28</v>
      </c>
      <c r="F727" s="1">
        <v>4</v>
      </c>
      <c r="G727" s="1">
        <v>82.3</v>
      </c>
      <c r="H727" s="1">
        <v>46.97</v>
      </c>
      <c r="I727" s="1">
        <f>TablaVentas[[#This Row],[Precio Unitario]]*TablaVentas[[#This Row],[Cantidad]]</f>
        <v>329.2</v>
      </c>
      <c r="J727" s="1">
        <f>TablaVentas[[#This Row],[Costo Unitario]]*TablaVentas[[#This Row],[Cantidad]]</f>
        <v>187.88</v>
      </c>
      <c r="K727" s="1">
        <f>TablaVentas[[#This Row],[Total Venta]]-TablaVentas[[#This Row],[Total Costo]]</f>
        <v>141.32</v>
      </c>
    </row>
    <row r="728" spans="1:11" x14ac:dyDescent="0.25">
      <c r="A728" s="2">
        <v>45448</v>
      </c>
      <c r="B728" s="1" t="s">
        <v>34</v>
      </c>
      <c r="C728" s="1" t="s">
        <v>13</v>
      </c>
      <c r="D728" s="1" t="s">
        <v>33</v>
      </c>
      <c r="E728" s="1" t="s">
        <v>22</v>
      </c>
      <c r="F728" s="1">
        <v>5</v>
      </c>
      <c r="G728" s="1">
        <v>315.61</v>
      </c>
      <c r="H728" s="1">
        <v>189.51</v>
      </c>
      <c r="I728" s="1">
        <f>TablaVentas[[#This Row],[Precio Unitario]]*TablaVentas[[#This Row],[Cantidad]]</f>
        <v>1578.0500000000002</v>
      </c>
      <c r="J728" s="1">
        <f>TablaVentas[[#This Row],[Costo Unitario]]*TablaVentas[[#This Row],[Cantidad]]</f>
        <v>947.55</v>
      </c>
      <c r="K728" s="1">
        <f>TablaVentas[[#This Row],[Total Venta]]-TablaVentas[[#This Row],[Total Costo]]</f>
        <v>630.50000000000023</v>
      </c>
    </row>
    <row r="729" spans="1:11" x14ac:dyDescent="0.25">
      <c r="A729" s="2">
        <v>45449</v>
      </c>
      <c r="B729" s="1" t="s">
        <v>23</v>
      </c>
      <c r="C729" s="1" t="s">
        <v>9</v>
      </c>
      <c r="D729" s="1" t="s">
        <v>10</v>
      </c>
      <c r="E729" s="1" t="s">
        <v>15</v>
      </c>
      <c r="F729" s="1">
        <v>10</v>
      </c>
      <c r="G729" s="1">
        <v>84.01</v>
      </c>
      <c r="H729" s="1">
        <v>42.61</v>
      </c>
      <c r="I729" s="1">
        <f>TablaVentas[[#This Row],[Precio Unitario]]*TablaVentas[[#This Row],[Cantidad]]</f>
        <v>840.1</v>
      </c>
      <c r="J729" s="1">
        <f>TablaVentas[[#This Row],[Costo Unitario]]*TablaVentas[[#This Row],[Cantidad]]</f>
        <v>426.1</v>
      </c>
      <c r="K729" s="1">
        <f>TablaVentas[[#This Row],[Total Venta]]-TablaVentas[[#This Row],[Total Costo]]</f>
        <v>414</v>
      </c>
    </row>
    <row r="730" spans="1:11" x14ac:dyDescent="0.25">
      <c r="A730" s="2">
        <v>45452</v>
      </c>
      <c r="B730" s="1" t="s">
        <v>21</v>
      </c>
      <c r="C730" s="1" t="s">
        <v>19</v>
      </c>
      <c r="D730" s="1" t="s">
        <v>31</v>
      </c>
      <c r="E730" s="1" t="s">
        <v>20</v>
      </c>
      <c r="F730" s="1">
        <v>6</v>
      </c>
      <c r="G730" s="1">
        <v>93.13</v>
      </c>
      <c r="H730" s="1">
        <v>55.53</v>
      </c>
      <c r="I730" s="1">
        <f>TablaVentas[[#This Row],[Precio Unitario]]*TablaVentas[[#This Row],[Cantidad]]</f>
        <v>558.78</v>
      </c>
      <c r="J730" s="1">
        <f>TablaVentas[[#This Row],[Costo Unitario]]*TablaVentas[[#This Row],[Cantidad]]</f>
        <v>333.18</v>
      </c>
      <c r="K730" s="1">
        <f>TablaVentas[[#This Row],[Total Venta]]-TablaVentas[[#This Row],[Total Costo]]</f>
        <v>225.59999999999997</v>
      </c>
    </row>
    <row r="731" spans="1:11" x14ac:dyDescent="0.25">
      <c r="A731" s="2">
        <v>45452</v>
      </c>
      <c r="B731" s="1" t="s">
        <v>12</v>
      </c>
      <c r="C731" s="1" t="s">
        <v>13</v>
      </c>
      <c r="D731" s="1" t="s">
        <v>17</v>
      </c>
      <c r="E731" s="1" t="s">
        <v>22</v>
      </c>
      <c r="F731" s="1">
        <v>2</v>
      </c>
      <c r="G731" s="1">
        <v>70.150000000000006</v>
      </c>
      <c r="H731" s="1">
        <v>42.6</v>
      </c>
      <c r="I731" s="1">
        <f>TablaVentas[[#This Row],[Precio Unitario]]*TablaVentas[[#This Row],[Cantidad]]</f>
        <v>140.30000000000001</v>
      </c>
      <c r="J731" s="1">
        <f>TablaVentas[[#This Row],[Costo Unitario]]*TablaVentas[[#This Row],[Cantidad]]</f>
        <v>85.2</v>
      </c>
      <c r="K731" s="1">
        <f>TablaVentas[[#This Row],[Total Venta]]-TablaVentas[[#This Row],[Total Costo]]</f>
        <v>55.100000000000009</v>
      </c>
    </row>
    <row r="732" spans="1:11" x14ac:dyDescent="0.25">
      <c r="A732" s="2">
        <v>45453</v>
      </c>
      <c r="B732" s="1" t="s">
        <v>34</v>
      </c>
      <c r="C732" s="1" t="s">
        <v>13</v>
      </c>
      <c r="D732" s="1" t="s">
        <v>10</v>
      </c>
      <c r="E732" s="1" t="s">
        <v>28</v>
      </c>
      <c r="F732" s="1">
        <v>6</v>
      </c>
      <c r="G732" s="1">
        <v>295.49</v>
      </c>
      <c r="H732" s="1">
        <v>189.41</v>
      </c>
      <c r="I732" s="1">
        <f>TablaVentas[[#This Row],[Precio Unitario]]*TablaVentas[[#This Row],[Cantidad]]</f>
        <v>1772.94</v>
      </c>
      <c r="J732" s="1">
        <f>TablaVentas[[#This Row],[Costo Unitario]]*TablaVentas[[#This Row],[Cantidad]]</f>
        <v>1136.46</v>
      </c>
      <c r="K732" s="1">
        <f>TablaVentas[[#This Row],[Total Venta]]-TablaVentas[[#This Row],[Total Costo]]</f>
        <v>636.48</v>
      </c>
    </row>
    <row r="733" spans="1:11" x14ac:dyDescent="0.25">
      <c r="A733" s="2">
        <v>45454</v>
      </c>
      <c r="B733" s="1" t="s">
        <v>23</v>
      </c>
      <c r="C733" s="1" t="s">
        <v>9</v>
      </c>
      <c r="D733" s="1" t="s">
        <v>17</v>
      </c>
      <c r="E733" s="1" t="s">
        <v>22</v>
      </c>
      <c r="F733" s="1">
        <v>4</v>
      </c>
      <c r="G733" s="1">
        <v>84.35</v>
      </c>
      <c r="H733" s="1">
        <v>47.78</v>
      </c>
      <c r="I733" s="1">
        <f>TablaVentas[[#This Row],[Precio Unitario]]*TablaVentas[[#This Row],[Cantidad]]</f>
        <v>337.4</v>
      </c>
      <c r="J733" s="1">
        <f>TablaVentas[[#This Row],[Costo Unitario]]*TablaVentas[[#This Row],[Cantidad]]</f>
        <v>191.12</v>
      </c>
      <c r="K733" s="1">
        <f>TablaVentas[[#This Row],[Total Venta]]-TablaVentas[[#This Row],[Total Costo]]</f>
        <v>146.27999999999997</v>
      </c>
    </row>
    <row r="734" spans="1:11" x14ac:dyDescent="0.25">
      <c r="A734" s="2">
        <v>45454</v>
      </c>
      <c r="B734" s="1" t="s">
        <v>12</v>
      </c>
      <c r="C734" s="1" t="s">
        <v>13</v>
      </c>
      <c r="D734" s="1" t="s">
        <v>10</v>
      </c>
      <c r="E734" s="1" t="s">
        <v>15</v>
      </c>
      <c r="F734" s="1">
        <v>7</v>
      </c>
      <c r="G734" s="1">
        <v>74.39</v>
      </c>
      <c r="H734" s="1">
        <v>39.17</v>
      </c>
      <c r="I734" s="1">
        <f>TablaVentas[[#This Row],[Precio Unitario]]*TablaVentas[[#This Row],[Cantidad]]</f>
        <v>520.73</v>
      </c>
      <c r="J734" s="1">
        <f>TablaVentas[[#This Row],[Costo Unitario]]*TablaVentas[[#This Row],[Cantidad]]</f>
        <v>274.19</v>
      </c>
      <c r="K734" s="1">
        <f>TablaVentas[[#This Row],[Total Venta]]-TablaVentas[[#This Row],[Total Costo]]</f>
        <v>246.54000000000002</v>
      </c>
    </row>
    <row r="735" spans="1:11" x14ac:dyDescent="0.25">
      <c r="A735" s="2">
        <v>45455</v>
      </c>
      <c r="B735" s="1" t="s">
        <v>23</v>
      </c>
      <c r="C735" s="1" t="s">
        <v>9</v>
      </c>
      <c r="D735" s="1" t="s">
        <v>25</v>
      </c>
      <c r="E735" s="1" t="s">
        <v>22</v>
      </c>
      <c r="F735" s="1">
        <v>7</v>
      </c>
      <c r="G735" s="1">
        <v>75.36</v>
      </c>
      <c r="H735" s="1">
        <v>42.51</v>
      </c>
      <c r="I735" s="1">
        <f>TablaVentas[[#This Row],[Precio Unitario]]*TablaVentas[[#This Row],[Cantidad]]</f>
        <v>527.52</v>
      </c>
      <c r="J735" s="1">
        <f>TablaVentas[[#This Row],[Costo Unitario]]*TablaVentas[[#This Row],[Cantidad]]</f>
        <v>297.57</v>
      </c>
      <c r="K735" s="1">
        <f>TablaVentas[[#This Row],[Total Venta]]-TablaVentas[[#This Row],[Total Costo]]</f>
        <v>229.95</v>
      </c>
    </row>
    <row r="736" spans="1:11" x14ac:dyDescent="0.25">
      <c r="A736" s="2">
        <v>45457</v>
      </c>
      <c r="B736" s="1" t="s">
        <v>18</v>
      </c>
      <c r="C736" s="1" t="s">
        <v>19</v>
      </c>
      <c r="D736" s="1" t="s">
        <v>10</v>
      </c>
      <c r="E736" s="1" t="s">
        <v>28</v>
      </c>
      <c r="F736" s="1">
        <v>4</v>
      </c>
      <c r="G736" s="1">
        <v>1227.05</v>
      </c>
      <c r="H736" s="1">
        <v>804.54</v>
      </c>
      <c r="I736" s="1">
        <f>TablaVentas[[#This Row],[Precio Unitario]]*TablaVentas[[#This Row],[Cantidad]]</f>
        <v>4908.2</v>
      </c>
      <c r="J736" s="1">
        <f>TablaVentas[[#This Row],[Costo Unitario]]*TablaVentas[[#This Row],[Cantidad]]</f>
        <v>3218.16</v>
      </c>
      <c r="K736" s="1">
        <f>TablaVentas[[#This Row],[Total Venta]]-TablaVentas[[#This Row],[Total Costo]]</f>
        <v>1690.04</v>
      </c>
    </row>
    <row r="737" spans="1:11" x14ac:dyDescent="0.25">
      <c r="A737" s="2">
        <v>45458</v>
      </c>
      <c r="B737" s="1" t="s">
        <v>34</v>
      </c>
      <c r="C737" s="1" t="s">
        <v>13</v>
      </c>
      <c r="D737" s="1" t="s">
        <v>24</v>
      </c>
      <c r="E737" s="1" t="s">
        <v>11</v>
      </c>
      <c r="F737" s="1">
        <v>6</v>
      </c>
      <c r="G737" s="1">
        <v>275.04000000000002</v>
      </c>
      <c r="H737" s="1">
        <v>181.5</v>
      </c>
      <c r="I737" s="1">
        <f>TablaVentas[[#This Row],[Precio Unitario]]*TablaVentas[[#This Row],[Cantidad]]</f>
        <v>1650.2400000000002</v>
      </c>
      <c r="J737" s="1">
        <f>TablaVentas[[#This Row],[Costo Unitario]]*TablaVentas[[#This Row],[Cantidad]]</f>
        <v>1089</v>
      </c>
      <c r="K737" s="1">
        <f>TablaVentas[[#This Row],[Total Venta]]-TablaVentas[[#This Row],[Total Costo]]</f>
        <v>561.24000000000024</v>
      </c>
    </row>
    <row r="738" spans="1:11" x14ac:dyDescent="0.25">
      <c r="A738" s="2">
        <v>45458</v>
      </c>
      <c r="B738" s="1" t="s">
        <v>8</v>
      </c>
      <c r="C738" s="1" t="s">
        <v>9</v>
      </c>
      <c r="D738" s="1" t="s">
        <v>14</v>
      </c>
      <c r="E738" s="1" t="s">
        <v>22</v>
      </c>
      <c r="F738" s="1">
        <v>4</v>
      </c>
      <c r="G738" s="1">
        <v>757.47</v>
      </c>
      <c r="H738" s="1">
        <v>517.1</v>
      </c>
      <c r="I738" s="1">
        <f>TablaVentas[[#This Row],[Precio Unitario]]*TablaVentas[[#This Row],[Cantidad]]</f>
        <v>3029.88</v>
      </c>
      <c r="J738" s="1">
        <f>TablaVentas[[#This Row],[Costo Unitario]]*TablaVentas[[#This Row],[Cantidad]]</f>
        <v>2068.4</v>
      </c>
      <c r="K738" s="1">
        <f>TablaVentas[[#This Row],[Total Venta]]-TablaVentas[[#This Row],[Total Costo]]</f>
        <v>961.48</v>
      </c>
    </row>
    <row r="739" spans="1:11" x14ac:dyDescent="0.25">
      <c r="A739" s="2">
        <v>45458</v>
      </c>
      <c r="B739" s="1" t="s">
        <v>18</v>
      </c>
      <c r="C739" s="1" t="s">
        <v>19</v>
      </c>
      <c r="D739" s="1" t="s">
        <v>10</v>
      </c>
      <c r="E739" s="1" t="s">
        <v>20</v>
      </c>
      <c r="F739" s="1">
        <v>7</v>
      </c>
      <c r="G739" s="1">
        <v>1032.07</v>
      </c>
      <c r="H739" s="1">
        <v>821.06</v>
      </c>
      <c r="I739" s="1">
        <f>TablaVentas[[#This Row],[Precio Unitario]]*TablaVentas[[#This Row],[Cantidad]]</f>
        <v>7224.49</v>
      </c>
      <c r="J739" s="1">
        <f>TablaVentas[[#This Row],[Costo Unitario]]*TablaVentas[[#This Row],[Cantidad]]</f>
        <v>5747.42</v>
      </c>
      <c r="K739" s="1">
        <f>TablaVentas[[#This Row],[Total Venta]]-TablaVentas[[#This Row],[Total Costo]]</f>
        <v>1477.0699999999997</v>
      </c>
    </row>
    <row r="740" spans="1:11" x14ac:dyDescent="0.25">
      <c r="A740" s="2">
        <v>45459</v>
      </c>
      <c r="B740" s="1" t="s">
        <v>26</v>
      </c>
      <c r="C740" s="1" t="s">
        <v>19</v>
      </c>
      <c r="D740" s="1" t="s">
        <v>33</v>
      </c>
      <c r="E740" s="1" t="s">
        <v>15</v>
      </c>
      <c r="F740" s="1">
        <v>9</v>
      </c>
      <c r="G740" s="1">
        <v>48.83</v>
      </c>
      <c r="H740" s="1">
        <v>26.46</v>
      </c>
      <c r="I740" s="1">
        <f>TablaVentas[[#This Row],[Precio Unitario]]*TablaVentas[[#This Row],[Cantidad]]</f>
        <v>439.46999999999997</v>
      </c>
      <c r="J740" s="1">
        <f>TablaVentas[[#This Row],[Costo Unitario]]*TablaVentas[[#This Row],[Cantidad]]</f>
        <v>238.14000000000001</v>
      </c>
      <c r="K740" s="1">
        <f>TablaVentas[[#This Row],[Total Venta]]-TablaVentas[[#This Row],[Total Costo]]</f>
        <v>201.32999999999996</v>
      </c>
    </row>
    <row r="741" spans="1:11" x14ac:dyDescent="0.25">
      <c r="A741" s="2">
        <v>45459</v>
      </c>
      <c r="B741" s="1" t="s">
        <v>21</v>
      </c>
      <c r="C741" s="1" t="s">
        <v>19</v>
      </c>
      <c r="D741" s="1" t="s">
        <v>31</v>
      </c>
      <c r="E741" s="1" t="s">
        <v>28</v>
      </c>
      <c r="F741" s="1">
        <v>5</v>
      </c>
      <c r="G741" s="1">
        <v>80.930000000000007</v>
      </c>
      <c r="H741" s="1">
        <v>48.63</v>
      </c>
      <c r="I741" s="1">
        <f>TablaVentas[[#This Row],[Precio Unitario]]*TablaVentas[[#This Row],[Cantidad]]</f>
        <v>404.65000000000003</v>
      </c>
      <c r="J741" s="1">
        <f>TablaVentas[[#This Row],[Costo Unitario]]*TablaVentas[[#This Row],[Cantidad]]</f>
        <v>243.15</v>
      </c>
      <c r="K741" s="1">
        <f>TablaVentas[[#This Row],[Total Venta]]-TablaVentas[[#This Row],[Total Costo]]</f>
        <v>161.50000000000003</v>
      </c>
    </row>
    <row r="742" spans="1:11" x14ac:dyDescent="0.25">
      <c r="A742" s="2">
        <v>45460</v>
      </c>
      <c r="B742" s="1" t="s">
        <v>18</v>
      </c>
      <c r="C742" s="1" t="s">
        <v>19</v>
      </c>
      <c r="D742" s="1" t="s">
        <v>33</v>
      </c>
      <c r="E742" s="1" t="s">
        <v>11</v>
      </c>
      <c r="F742" s="1">
        <v>2</v>
      </c>
      <c r="G742" s="1">
        <v>1310.31</v>
      </c>
      <c r="H742" s="1">
        <v>934.55</v>
      </c>
      <c r="I742" s="1">
        <f>TablaVentas[[#This Row],[Precio Unitario]]*TablaVentas[[#This Row],[Cantidad]]</f>
        <v>2620.62</v>
      </c>
      <c r="J742" s="1">
        <f>TablaVentas[[#This Row],[Costo Unitario]]*TablaVentas[[#This Row],[Cantidad]]</f>
        <v>1869.1</v>
      </c>
      <c r="K742" s="1">
        <f>TablaVentas[[#This Row],[Total Venta]]-TablaVentas[[#This Row],[Total Costo]]</f>
        <v>751.52</v>
      </c>
    </row>
    <row r="743" spans="1:11" x14ac:dyDescent="0.25">
      <c r="A743" s="2">
        <v>45460</v>
      </c>
      <c r="B743" s="1" t="s">
        <v>18</v>
      </c>
      <c r="C743" s="1" t="s">
        <v>19</v>
      </c>
      <c r="D743" s="1" t="s">
        <v>27</v>
      </c>
      <c r="E743" s="1" t="s">
        <v>11</v>
      </c>
      <c r="F743" s="1">
        <v>6</v>
      </c>
      <c r="G743" s="1">
        <v>1036.7</v>
      </c>
      <c r="H743" s="1">
        <v>921.31</v>
      </c>
      <c r="I743" s="1">
        <f>TablaVentas[[#This Row],[Precio Unitario]]*TablaVentas[[#This Row],[Cantidad]]</f>
        <v>6220.2000000000007</v>
      </c>
      <c r="J743" s="1">
        <f>TablaVentas[[#This Row],[Costo Unitario]]*TablaVentas[[#This Row],[Cantidad]]</f>
        <v>5527.86</v>
      </c>
      <c r="K743" s="1">
        <f>TablaVentas[[#This Row],[Total Venta]]-TablaVentas[[#This Row],[Total Costo]]</f>
        <v>692.34000000000106</v>
      </c>
    </row>
    <row r="744" spans="1:11" x14ac:dyDescent="0.25">
      <c r="A744" s="2">
        <v>45461</v>
      </c>
      <c r="B744" s="1" t="s">
        <v>8</v>
      </c>
      <c r="C744" s="1" t="s">
        <v>9</v>
      </c>
      <c r="D744" s="1" t="s">
        <v>24</v>
      </c>
      <c r="E744" s="1" t="s">
        <v>11</v>
      </c>
      <c r="F744" s="1">
        <v>6</v>
      </c>
      <c r="G744" s="1">
        <v>778.1</v>
      </c>
      <c r="H744" s="1">
        <v>432.14</v>
      </c>
      <c r="I744" s="1">
        <f>TablaVentas[[#This Row],[Precio Unitario]]*TablaVentas[[#This Row],[Cantidad]]</f>
        <v>4668.6000000000004</v>
      </c>
      <c r="J744" s="1">
        <f>TablaVentas[[#This Row],[Costo Unitario]]*TablaVentas[[#This Row],[Cantidad]]</f>
        <v>2592.84</v>
      </c>
      <c r="K744" s="1">
        <f>TablaVentas[[#This Row],[Total Venta]]-TablaVentas[[#This Row],[Total Costo]]</f>
        <v>2075.7600000000002</v>
      </c>
    </row>
    <row r="745" spans="1:11" x14ac:dyDescent="0.25">
      <c r="A745" s="2">
        <v>45463</v>
      </c>
      <c r="B745" s="1" t="s">
        <v>8</v>
      </c>
      <c r="C745" s="1" t="s">
        <v>9</v>
      </c>
      <c r="D745" s="1" t="s">
        <v>17</v>
      </c>
      <c r="E745" s="1" t="s">
        <v>11</v>
      </c>
      <c r="F745" s="1">
        <v>8</v>
      </c>
      <c r="G745" s="1">
        <v>671.71</v>
      </c>
      <c r="H745" s="1">
        <v>434.06</v>
      </c>
      <c r="I745" s="1">
        <f>TablaVentas[[#This Row],[Precio Unitario]]*TablaVentas[[#This Row],[Cantidad]]</f>
        <v>5373.68</v>
      </c>
      <c r="J745" s="1">
        <f>TablaVentas[[#This Row],[Costo Unitario]]*TablaVentas[[#This Row],[Cantidad]]</f>
        <v>3472.48</v>
      </c>
      <c r="K745" s="1">
        <f>TablaVentas[[#This Row],[Total Venta]]-TablaVentas[[#This Row],[Total Costo]]</f>
        <v>1901.2000000000003</v>
      </c>
    </row>
    <row r="746" spans="1:11" x14ac:dyDescent="0.25">
      <c r="A746" s="2">
        <v>45465</v>
      </c>
      <c r="B746" s="1" t="s">
        <v>34</v>
      </c>
      <c r="C746" s="1" t="s">
        <v>13</v>
      </c>
      <c r="D746" s="1" t="s">
        <v>25</v>
      </c>
      <c r="E746" s="1" t="s">
        <v>15</v>
      </c>
      <c r="F746" s="1">
        <v>5</v>
      </c>
      <c r="G746" s="1">
        <v>286.27</v>
      </c>
      <c r="H746" s="1">
        <v>173.27</v>
      </c>
      <c r="I746" s="1">
        <f>TablaVentas[[#This Row],[Precio Unitario]]*TablaVentas[[#This Row],[Cantidad]]</f>
        <v>1431.35</v>
      </c>
      <c r="J746" s="1">
        <f>TablaVentas[[#This Row],[Costo Unitario]]*TablaVentas[[#This Row],[Cantidad]]</f>
        <v>866.35</v>
      </c>
      <c r="K746" s="1">
        <f>TablaVentas[[#This Row],[Total Venta]]-TablaVentas[[#This Row],[Total Costo]]</f>
        <v>564.99999999999989</v>
      </c>
    </row>
    <row r="747" spans="1:11" x14ac:dyDescent="0.25">
      <c r="A747" s="2">
        <v>45465</v>
      </c>
      <c r="B747" s="1" t="s">
        <v>8</v>
      </c>
      <c r="C747" s="1" t="s">
        <v>9</v>
      </c>
      <c r="D747" s="1" t="s">
        <v>14</v>
      </c>
      <c r="E747" s="1" t="s">
        <v>11</v>
      </c>
      <c r="F747" s="1">
        <v>9</v>
      </c>
      <c r="G747" s="1">
        <v>702.99</v>
      </c>
      <c r="H747" s="1">
        <v>477.04</v>
      </c>
      <c r="I747" s="1">
        <f>TablaVentas[[#This Row],[Precio Unitario]]*TablaVentas[[#This Row],[Cantidad]]</f>
        <v>6326.91</v>
      </c>
      <c r="J747" s="1">
        <f>TablaVentas[[#This Row],[Costo Unitario]]*TablaVentas[[#This Row],[Cantidad]]</f>
        <v>4293.3600000000006</v>
      </c>
      <c r="K747" s="1">
        <f>TablaVentas[[#This Row],[Total Venta]]-TablaVentas[[#This Row],[Total Costo]]</f>
        <v>2033.5499999999993</v>
      </c>
    </row>
    <row r="748" spans="1:11" x14ac:dyDescent="0.25">
      <c r="A748" s="2">
        <v>45466</v>
      </c>
      <c r="B748" s="1" t="s">
        <v>26</v>
      </c>
      <c r="C748" s="1" t="s">
        <v>19</v>
      </c>
      <c r="D748" s="1" t="s">
        <v>25</v>
      </c>
      <c r="E748" s="1" t="s">
        <v>11</v>
      </c>
      <c r="F748" s="1">
        <v>3</v>
      </c>
      <c r="G748" s="1">
        <v>41.81</v>
      </c>
      <c r="H748" s="1">
        <v>23.23</v>
      </c>
      <c r="I748" s="1">
        <f>TablaVentas[[#This Row],[Precio Unitario]]*TablaVentas[[#This Row],[Cantidad]]</f>
        <v>125.43</v>
      </c>
      <c r="J748" s="1">
        <f>TablaVentas[[#This Row],[Costo Unitario]]*TablaVentas[[#This Row],[Cantidad]]</f>
        <v>69.69</v>
      </c>
      <c r="K748" s="1">
        <f>TablaVentas[[#This Row],[Total Venta]]-TablaVentas[[#This Row],[Total Costo]]</f>
        <v>55.740000000000009</v>
      </c>
    </row>
    <row r="749" spans="1:11" x14ac:dyDescent="0.25">
      <c r="A749" s="2">
        <v>45466</v>
      </c>
      <c r="B749" s="1" t="s">
        <v>8</v>
      </c>
      <c r="C749" s="1" t="s">
        <v>9</v>
      </c>
      <c r="D749" s="1" t="s">
        <v>14</v>
      </c>
      <c r="E749" s="1" t="s">
        <v>28</v>
      </c>
      <c r="F749" s="1">
        <v>7</v>
      </c>
      <c r="G749" s="1">
        <v>772.33</v>
      </c>
      <c r="H749" s="1">
        <v>498.85</v>
      </c>
      <c r="I749" s="1">
        <f>TablaVentas[[#This Row],[Precio Unitario]]*TablaVentas[[#This Row],[Cantidad]]</f>
        <v>5406.31</v>
      </c>
      <c r="J749" s="1">
        <f>TablaVentas[[#This Row],[Costo Unitario]]*TablaVentas[[#This Row],[Cantidad]]</f>
        <v>3491.9500000000003</v>
      </c>
      <c r="K749" s="1">
        <f>TablaVentas[[#This Row],[Total Venta]]-TablaVentas[[#This Row],[Total Costo]]</f>
        <v>1914.3600000000001</v>
      </c>
    </row>
    <row r="750" spans="1:11" x14ac:dyDescent="0.25">
      <c r="A750" s="2">
        <v>45466</v>
      </c>
      <c r="B750" s="1" t="s">
        <v>8</v>
      </c>
      <c r="C750" s="1" t="s">
        <v>9</v>
      </c>
      <c r="D750" s="1" t="s">
        <v>33</v>
      </c>
      <c r="E750" s="1" t="s">
        <v>22</v>
      </c>
      <c r="F750" s="1">
        <v>4</v>
      </c>
      <c r="G750" s="1">
        <v>750.47</v>
      </c>
      <c r="H750" s="1">
        <v>437.57</v>
      </c>
      <c r="I750" s="1">
        <f>TablaVentas[[#This Row],[Precio Unitario]]*TablaVentas[[#This Row],[Cantidad]]</f>
        <v>3001.88</v>
      </c>
      <c r="J750" s="1">
        <f>TablaVentas[[#This Row],[Costo Unitario]]*TablaVentas[[#This Row],[Cantidad]]</f>
        <v>1750.28</v>
      </c>
      <c r="K750" s="1">
        <f>TablaVentas[[#This Row],[Total Venta]]-TablaVentas[[#This Row],[Total Costo]]</f>
        <v>1251.6000000000001</v>
      </c>
    </row>
    <row r="751" spans="1:11" x14ac:dyDescent="0.25">
      <c r="A751" s="2">
        <v>45468</v>
      </c>
      <c r="B751" s="1" t="s">
        <v>12</v>
      </c>
      <c r="C751" s="1" t="s">
        <v>13</v>
      </c>
      <c r="D751" s="1" t="s">
        <v>33</v>
      </c>
      <c r="E751" s="1" t="s">
        <v>28</v>
      </c>
      <c r="F751" s="1">
        <v>5</v>
      </c>
      <c r="G751" s="1">
        <v>71.08</v>
      </c>
      <c r="H751" s="1">
        <v>44.03</v>
      </c>
      <c r="I751" s="1">
        <f>TablaVentas[[#This Row],[Precio Unitario]]*TablaVentas[[#This Row],[Cantidad]]</f>
        <v>355.4</v>
      </c>
      <c r="J751" s="1">
        <f>TablaVentas[[#This Row],[Costo Unitario]]*TablaVentas[[#This Row],[Cantidad]]</f>
        <v>220.15</v>
      </c>
      <c r="K751" s="1">
        <f>TablaVentas[[#This Row],[Total Venta]]-TablaVentas[[#This Row],[Total Costo]]</f>
        <v>135.24999999999997</v>
      </c>
    </row>
    <row r="752" spans="1:11" x14ac:dyDescent="0.25">
      <c r="A752" s="2">
        <v>45468</v>
      </c>
      <c r="B752" s="1" t="s">
        <v>18</v>
      </c>
      <c r="C752" s="1" t="s">
        <v>19</v>
      </c>
      <c r="D752" s="1" t="s">
        <v>33</v>
      </c>
      <c r="E752" s="1" t="s">
        <v>11</v>
      </c>
      <c r="F752" s="1">
        <v>1</v>
      </c>
      <c r="G752" s="1">
        <v>1054.8900000000001</v>
      </c>
      <c r="H752" s="1">
        <v>892.98</v>
      </c>
      <c r="I752" s="1">
        <f>TablaVentas[[#This Row],[Precio Unitario]]*TablaVentas[[#This Row],[Cantidad]]</f>
        <v>1054.8900000000001</v>
      </c>
      <c r="J752" s="1">
        <f>TablaVentas[[#This Row],[Costo Unitario]]*TablaVentas[[#This Row],[Cantidad]]</f>
        <v>892.98</v>
      </c>
      <c r="K752" s="1">
        <f>TablaVentas[[#This Row],[Total Venta]]-TablaVentas[[#This Row],[Total Costo]]</f>
        <v>161.91000000000008</v>
      </c>
    </row>
    <row r="753" spans="1:11" x14ac:dyDescent="0.25">
      <c r="A753" s="2">
        <v>45471</v>
      </c>
      <c r="B753" s="1" t="s">
        <v>18</v>
      </c>
      <c r="C753" s="1" t="s">
        <v>19</v>
      </c>
      <c r="D753" s="1" t="s">
        <v>14</v>
      </c>
      <c r="E753" s="1" t="s">
        <v>28</v>
      </c>
      <c r="F753" s="1">
        <v>1</v>
      </c>
      <c r="G753" s="1">
        <v>1175.21</v>
      </c>
      <c r="H753" s="1">
        <v>833.34</v>
      </c>
      <c r="I753" s="1">
        <f>TablaVentas[[#This Row],[Precio Unitario]]*TablaVentas[[#This Row],[Cantidad]]</f>
        <v>1175.21</v>
      </c>
      <c r="J753" s="1">
        <f>TablaVentas[[#This Row],[Costo Unitario]]*TablaVentas[[#This Row],[Cantidad]]</f>
        <v>833.34</v>
      </c>
      <c r="K753" s="1">
        <f>TablaVentas[[#This Row],[Total Venta]]-TablaVentas[[#This Row],[Total Costo]]</f>
        <v>341.87</v>
      </c>
    </row>
    <row r="754" spans="1:11" x14ac:dyDescent="0.25">
      <c r="A754" s="2">
        <v>45472</v>
      </c>
      <c r="B754" s="1" t="s">
        <v>12</v>
      </c>
      <c r="C754" s="1" t="s">
        <v>13</v>
      </c>
      <c r="D754" s="1" t="s">
        <v>33</v>
      </c>
      <c r="E754" s="1" t="s">
        <v>20</v>
      </c>
      <c r="F754" s="1">
        <v>6</v>
      </c>
      <c r="G754" s="1">
        <v>55.33</v>
      </c>
      <c r="H754" s="1">
        <v>43.39</v>
      </c>
      <c r="I754" s="1">
        <f>TablaVentas[[#This Row],[Precio Unitario]]*TablaVentas[[#This Row],[Cantidad]]</f>
        <v>331.98</v>
      </c>
      <c r="J754" s="1">
        <f>TablaVentas[[#This Row],[Costo Unitario]]*TablaVentas[[#This Row],[Cantidad]]</f>
        <v>260.34000000000003</v>
      </c>
      <c r="K754" s="1">
        <f>TablaVentas[[#This Row],[Total Venta]]-TablaVentas[[#This Row],[Total Costo]]</f>
        <v>71.639999999999986</v>
      </c>
    </row>
    <row r="755" spans="1:11" x14ac:dyDescent="0.25">
      <c r="A755" s="2">
        <v>45473</v>
      </c>
      <c r="B755" s="1" t="s">
        <v>26</v>
      </c>
      <c r="C755" s="1" t="s">
        <v>19</v>
      </c>
      <c r="D755" s="1" t="s">
        <v>31</v>
      </c>
      <c r="E755" s="1" t="s">
        <v>11</v>
      </c>
      <c r="F755" s="1">
        <v>9</v>
      </c>
      <c r="G755" s="1">
        <v>48.63</v>
      </c>
      <c r="H755" s="1">
        <v>27.36</v>
      </c>
      <c r="I755" s="1">
        <f>TablaVentas[[#This Row],[Precio Unitario]]*TablaVentas[[#This Row],[Cantidad]]</f>
        <v>437.67</v>
      </c>
      <c r="J755" s="1">
        <f>TablaVentas[[#This Row],[Costo Unitario]]*TablaVentas[[#This Row],[Cantidad]]</f>
        <v>246.24</v>
      </c>
      <c r="K755" s="1">
        <f>TablaVentas[[#This Row],[Total Venta]]-TablaVentas[[#This Row],[Total Costo]]</f>
        <v>191.43</v>
      </c>
    </row>
    <row r="756" spans="1:11" x14ac:dyDescent="0.25">
      <c r="A756" s="2">
        <v>45473</v>
      </c>
      <c r="B756" s="1" t="s">
        <v>34</v>
      </c>
      <c r="C756" s="1" t="s">
        <v>13</v>
      </c>
      <c r="D756" s="1" t="s">
        <v>10</v>
      </c>
      <c r="E756" s="1" t="s">
        <v>20</v>
      </c>
      <c r="F756" s="1">
        <v>9</v>
      </c>
      <c r="G756" s="1">
        <v>294.27</v>
      </c>
      <c r="H756" s="1">
        <v>207</v>
      </c>
      <c r="I756" s="1">
        <f>TablaVentas[[#This Row],[Precio Unitario]]*TablaVentas[[#This Row],[Cantidad]]</f>
        <v>2648.43</v>
      </c>
      <c r="J756" s="1">
        <f>TablaVentas[[#This Row],[Costo Unitario]]*TablaVentas[[#This Row],[Cantidad]]</f>
        <v>1863</v>
      </c>
      <c r="K756" s="1">
        <f>TablaVentas[[#This Row],[Total Venta]]-TablaVentas[[#This Row],[Total Costo]]</f>
        <v>785.42999999999984</v>
      </c>
    </row>
    <row r="757" spans="1:11" x14ac:dyDescent="0.25">
      <c r="A757" s="2">
        <v>45473</v>
      </c>
      <c r="B757" s="1" t="s">
        <v>8</v>
      </c>
      <c r="C757" s="1" t="s">
        <v>9</v>
      </c>
      <c r="D757" s="1" t="s">
        <v>31</v>
      </c>
      <c r="E757" s="1" t="s">
        <v>28</v>
      </c>
      <c r="F757" s="1">
        <v>8</v>
      </c>
      <c r="G757" s="1">
        <v>702.8</v>
      </c>
      <c r="H757" s="1">
        <v>514.59</v>
      </c>
      <c r="I757" s="1">
        <f>TablaVentas[[#This Row],[Precio Unitario]]*TablaVentas[[#This Row],[Cantidad]]</f>
        <v>5622.4</v>
      </c>
      <c r="J757" s="1">
        <f>TablaVentas[[#This Row],[Costo Unitario]]*TablaVentas[[#This Row],[Cantidad]]</f>
        <v>4116.72</v>
      </c>
      <c r="K757" s="1">
        <f>TablaVentas[[#This Row],[Total Venta]]-TablaVentas[[#This Row],[Total Costo]]</f>
        <v>1505.6799999999994</v>
      </c>
    </row>
    <row r="758" spans="1:11" x14ac:dyDescent="0.25">
      <c r="A758" s="2">
        <v>45474</v>
      </c>
      <c r="B758" s="1" t="s">
        <v>12</v>
      </c>
      <c r="C758" s="1" t="s">
        <v>13</v>
      </c>
      <c r="D758" s="1" t="s">
        <v>33</v>
      </c>
      <c r="E758" s="1" t="s">
        <v>11</v>
      </c>
      <c r="F758" s="1">
        <v>9</v>
      </c>
      <c r="G758" s="1">
        <v>71.989999999999995</v>
      </c>
      <c r="H758" s="1">
        <v>41.29</v>
      </c>
      <c r="I758" s="1">
        <f>TablaVentas[[#This Row],[Precio Unitario]]*TablaVentas[[#This Row],[Cantidad]]</f>
        <v>647.91</v>
      </c>
      <c r="J758" s="1">
        <f>TablaVentas[[#This Row],[Costo Unitario]]*TablaVentas[[#This Row],[Cantidad]]</f>
        <v>371.61</v>
      </c>
      <c r="K758" s="1">
        <f>TablaVentas[[#This Row],[Total Venta]]-TablaVentas[[#This Row],[Total Costo]]</f>
        <v>276.29999999999995</v>
      </c>
    </row>
    <row r="759" spans="1:11" x14ac:dyDescent="0.25">
      <c r="A759" s="2">
        <v>45475</v>
      </c>
      <c r="B759" s="1" t="s">
        <v>32</v>
      </c>
      <c r="C759" s="1" t="s">
        <v>30</v>
      </c>
      <c r="D759" s="1" t="s">
        <v>31</v>
      </c>
      <c r="E759" s="1" t="s">
        <v>28</v>
      </c>
      <c r="F759" s="1">
        <v>3</v>
      </c>
      <c r="G759" s="1">
        <v>357.72</v>
      </c>
      <c r="H759" s="1">
        <v>210.3</v>
      </c>
      <c r="I759" s="1">
        <f>TablaVentas[[#This Row],[Precio Unitario]]*TablaVentas[[#This Row],[Cantidad]]</f>
        <v>1073.1600000000001</v>
      </c>
      <c r="J759" s="1">
        <f>TablaVentas[[#This Row],[Costo Unitario]]*TablaVentas[[#This Row],[Cantidad]]</f>
        <v>630.90000000000009</v>
      </c>
      <c r="K759" s="1">
        <f>TablaVentas[[#This Row],[Total Venta]]-TablaVentas[[#This Row],[Total Costo]]</f>
        <v>442.26</v>
      </c>
    </row>
    <row r="760" spans="1:11" x14ac:dyDescent="0.25">
      <c r="A760" s="2">
        <v>45477</v>
      </c>
      <c r="B760" s="1" t="s">
        <v>16</v>
      </c>
      <c r="C760" s="1" t="s">
        <v>13</v>
      </c>
      <c r="D760" s="1" t="s">
        <v>31</v>
      </c>
      <c r="E760" s="1" t="s">
        <v>28</v>
      </c>
      <c r="F760" s="1">
        <v>1</v>
      </c>
      <c r="G760" s="1">
        <v>53.11</v>
      </c>
      <c r="H760" s="1">
        <v>38.44</v>
      </c>
      <c r="I760" s="1">
        <f>TablaVentas[[#This Row],[Precio Unitario]]*TablaVentas[[#This Row],[Cantidad]]</f>
        <v>53.11</v>
      </c>
      <c r="J760" s="1">
        <f>TablaVentas[[#This Row],[Costo Unitario]]*TablaVentas[[#This Row],[Cantidad]]</f>
        <v>38.44</v>
      </c>
      <c r="K760" s="1">
        <f>TablaVentas[[#This Row],[Total Venta]]-TablaVentas[[#This Row],[Total Costo]]</f>
        <v>14.670000000000002</v>
      </c>
    </row>
    <row r="761" spans="1:11" x14ac:dyDescent="0.25">
      <c r="A761" s="2">
        <v>45478</v>
      </c>
      <c r="B761" s="1" t="s">
        <v>34</v>
      </c>
      <c r="C761" s="1" t="s">
        <v>13</v>
      </c>
      <c r="D761" s="1" t="s">
        <v>25</v>
      </c>
      <c r="E761" s="1" t="s">
        <v>15</v>
      </c>
      <c r="F761" s="1">
        <v>3</v>
      </c>
      <c r="G761" s="1">
        <v>265.39999999999998</v>
      </c>
      <c r="H761" s="1">
        <v>200.81</v>
      </c>
      <c r="I761" s="1">
        <f>TablaVentas[[#This Row],[Precio Unitario]]*TablaVentas[[#This Row],[Cantidad]]</f>
        <v>796.19999999999993</v>
      </c>
      <c r="J761" s="1">
        <f>TablaVentas[[#This Row],[Costo Unitario]]*TablaVentas[[#This Row],[Cantidad]]</f>
        <v>602.43000000000006</v>
      </c>
      <c r="K761" s="1">
        <f>TablaVentas[[#This Row],[Total Venta]]-TablaVentas[[#This Row],[Total Costo]]</f>
        <v>193.76999999999987</v>
      </c>
    </row>
    <row r="762" spans="1:11" x14ac:dyDescent="0.25">
      <c r="A762" s="2">
        <v>45479</v>
      </c>
      <c r="B762" s="1" t="s">
        <v>32</v>
      </c>
      <c r="C762" s="1" t="s">
        <v>30</v>
      </c>
      <c r="D762" s="1" t="s">
        <v>10</v>
      </c>
      <c r="E762" s="1" t="s">
        <v>22</v>
      </c>
      <c r="F762" s="1">
        <v>2</v>
      </c>
      <c r="G762" s="1">
        <v>348.15</v>
      </c>
      <c r="H762" s="1">
        <v>207</v>
      </c>
      <c r="I762" s="1">
        <f>TablaVentas[[#This Row],[Precio Unitario]]*TablaVentas[[#This Row],[Cantidad]]</f>
        <v>696.3</v>
      </c>
      <c r="J762" s="1">
        <f>TablaVentas[[#This Row],[Costo Unitario]]*TablaVentas[[#This Row],[Cantidad]]</f>
        <v>414</v>
      </c>
      <c r="K762" s="1">
        <f>TablaVentas[[#This Row],[Total Venta]]-TablaVentas[[#This Row],[Total Costo]]</f>
        <v>282.29999999999995</v>
      </c>
    </row>
    <row r="763" spans="1:11" x14ac:dyDescent="0.25">
      <c r="A763" s="2">
        <v>45479</v>
      </c>
      <c r="B763" s="1" t="s">
        <v>12</v>
      </c>
      <c r="C763" s="1" t="s">
        <v>13</v>
      </c>
      <c r="D763" s="1" t="s">
        <v>24</v>
      </c>
      <c r="E763" s="1" t="s">
        <v>15</v>
      </c>
      <c r="F763" s="1">
        <v>2</v>
      </c>
      <c r="G763" s="1">
        <v>55.88</v>
      </c>
      <c r="H763" s="1">
        <v>41.73</v>
      </c>
      <c r="I763" s="1">
        <f>TablaVentas[[#This Row],[Precio Unitario]]*TablaVentas[[#This Row],[Cantidad]]</f>
        <v>111.76</v>
      </c>
      <c r="J763" s="1">
        <f>TablaVentas[[#This Row],[Costo Unitario]]*TablaVentas[[#This Row],[Cantidad]]</f>
        <v>83.46</v>
      </c>
      <c r="K763" s="1">
        <f>TablaVentas[[#This Row],[Total Venta]]-TablaVentas[[#This Row],[Total Costo]]</f>
        <v>28.300000000000011</v>
      </c>
    </row>
    <row r="764" spans="1:11" x14ac:dyDescent="0.25">
      <c r="A764" s="2">
        <v>45480</v>
      </c>
      <c r="B764" s="1" t="s">
        <v>32</v>
      </c>
      <c r="C764" s="1" t="s">
        <v>30</v>
      </c>
      <c r="D764" s="1" t="s">
        <v>31</v>
      </c>
      <c r="E764" s="1" t="s">
        <v>11</v>
      </c>
      <c r="F764" s="1">
        <v>6</v>
      </c>
      <c r="G764" s="1">
        <v>330.09</v>
      </c>
      <c r="H764" s="1">
        <v>228.37</v>
      </c>
      <c r="I764" s="1">
        <f>TablaVentas[[#This Row],[Precio Unitario]]*TablaVentas[[#This Row],[Cantidad]]</f>
        <v>1980.54</v>
      </c>
      <c r="J764" s="1">
        <f>TablaVentas[[#This Row],[Costo Unitario]]*TablaVentas[[#This Row],[Cantidad]]</f>
        <v>1370.22</v>
      </c>
      <c r="K764" s="1">
        <f>TablaVentas[[#This Row],[Total Venta]]-TablaVentas[[#This Row],[Total Costo]]</f>
        <v>610.31999999999994</v>
      </c>
    </row>
    <row r="765" spans="1:11" x14ac:dyDescent="0.25">
      <c r="A765" s="2">
        <v>45481</v>
      </c>
      <c r="B765" s="1" t="s">
        <v>29</v>
      </c>
      <c r="C765" s="1" t="s">
        <v>30</v>
      </c>
      <c r="D765" s="1" t="s">
        <v>27</v>
      </c>
      <c r="E765" s="1" t="s">
        <v>11</v>
      </c>
      <c r="F765" s="1">
        <v>10</v>
      </c>
      <c r="G765" s="1">
        <v>469.08</v>
      </c>
      <c r="H765" s="1">
        <v>308.98</v>
      </c>
      <c r="I765" s="1">
        <f>TablaVentas[[#This Row],[Precio Unitario]]*TablaVentas[[#This Row],[Cantidad]]</f>
        <v>4690.8</v>
      </c>
      <c r="J765" s="1">
        <f>TablaVentas[[#This Row],[Costo Unitario]]*TablaVentas[[#This Row],[Cantidad]]</f>
        <v>3089.8</v>
      </c>
      <c r="K765" s="1">
        <f>TablaVentas[[#This Row],[Total Venta]]-TablaVentas[[#This Row],[Total Costo]]</f>
        <v>1601</v>
      </c>
    </row>
    <row r="766" spans="1:11" x14ac:dyDescent="0.25">
      <c r="A766" s="2">
        <v>45482</v>
      </c>
      <c r="B766" s="1" t="s">
        <v>12</v>
      </c>
      <c r="C766" s="1" t="s">
        <v>13</v>
      </c>
      <c r="D766" s="1" t="s">
        <v>14</v>
      </c>
      <c r="E766" s="1" t="s">
        <v>15</v>
      </c>
      <c r="F766" s="1">
        <v>5</v>
      </c>
      <c r="G766" s="1">
        <v>72.069999999999993</v>
      </c>
      <c r="H766" s="1">
        <v>44.44</v>
      </c>
      <c r="I766" s="1">
        <f>TablaVentas[[#This Row],[Precio Unitario]]*TablaVentas[[#This Row],[Cantidad]]</f>
        <v>360.34999999999997</v>
      </c>
      <c r="J766" s="1">
        <f>TablaVentas[[#This Row],[Costo Unitario]]*TablaVentas[[#This Row],[Cantidad]]</f>
        <v>222.2</v>
      </c>
      <c r="K766" s="1">
        <f>TablaVentas[[#This Row],[Total Venta]]-TablaVentas[[#This Row],[Total Costo]]</f>
        <v>138.14999999999998</v>
      </c>
    </row>
    <row r="767" spans="1:11" x14ac:dyDescent="0.25">
      <c r="A767" s="2">
        <v>45484</v>
      </c>
      <c r="B767" s="1" t="s">
        <v>8</v>
      </c>
      <c r="C767" s="1" t="s">
        <v>9</v>
      </c>
      <c r="D767" s="1" t="s">
        <v>14</v>
      </c>
      <c r="E767" s="1" t="s">
        <v>22</v>
      </c>
      <c r="F767" s="1">
        <v>5</v>
      </c>
      <c r="G767" s="1">
        <v>740.59</v>
      </c>
      <c r="H767" s="1">
        <v>501.22</v>
      </c>
      <c r="I767" s="1">
        <f>TablaVentas[[#This Row],[Precio Unitario]]*TablaVentas[[#This Row],[Cantidad]]</f>
        <v>3702.9500000000003</v>
      </c>
      <c r="J767" s="1">
        <f>TablaVentas[[#This Row],[Costo Unitario]]*TablaVentas[[#This Row],[Cantidad]]</f>
        <v>2506.1000000000004</v>
      </c>
      <c r="K767" s="1">
        <f>TablaVentas[[#This Row],[Total Venta]]-TablaVentas[[#This Row],[Total Costo]]</f>
        <v>1196.8499999999999</v>
      </c>
    </row>
    <row r="768" spans="1:11" x14ac:dyDescent="0.25">
      <c r="A768" s="2">
        <v>45484</v>
      </c>
      <c r="B768" s="1" t="s">
        <v>21</v>
      </c>
      <c r="C768" s="1" t="s">
        <v>19</v>
      </c>
      <c r="D768" s="1" t="s">
        <v>31</v>
      </c>
      <c r="E768" s="1" t="s">
        <v>20</v>
      </c>
      <c r="F768" s="1">
        <v>1</v>
      </c>
      <c r="G768" s="1">
        <v>78.5</v>
      </c>
      <c r="H768" s="1">
        <v>51.58</v>
      </c>
      <c r="I768" s="1">
        <f>TablaVentas[[#This Row],[Precio Unitario]]*TablaVentas[[#This Row],[Cantidad]]</f>
        <v>78.5</v>
      </c>
      <c r="J768" s="1">
        <f>TablaVentas[[#This Row],[Costo Unitario]]*TablaVentas[[#This Row],[Cantidad]]</f>
        <v>51.58</v>
      </c>
      <c r="K768" s="1">
        <f>TablaVentas[[#This Row],[Total Venta]]-TablaVentas[[#This Row],[Total Costo]]</f>
        <v>26.92</v>
      </c>
    </row>
    <row r="769" spans="1:11" x14ac:dyDescent="0.25">
      <c r="A769" s="2">
        <v>45486</v>
      </c>
      <c r="B769" s="1" t="s">
        <v>18</v>
      </c>
      <c r="C769" s="1" t="s">
        <v>19</v>
      </c>
      <c r="D769" s="1" t="s">
        <v>10</v>
      </c>
      <c r="E769" s="1" t="s">
        <v>20</v>
      </c>
      <c r="F769" s="1">
        <v>3</v>
      </c>
      <c r="G769" s="1">
        <v>1244.17</v>
      </c>
      <c r="H769" s="1">
        <v>875.13</v>
      </c>
      <c r="I769" s="1">
        <f>TablaVentas[[#This Row],[Precio Unitario]]*TablaVentas[[#This Row],[Cantidad]]</f>
        <v>3732.51</v>
      </c>
      <c r="J769" s="1">
        <f>TablaVentas[[#This Row],[Costo Unitario]]*TablaVentas[[#This Row],[Cantidad]]</f>
        <v>2625.39</v>
      </c>
      <c r="K769" s="1">
        <f>TablaVentas[[#This Row],[Total Venta]]-TablaVentas[[#This Row],[Total Costo]]</f>
        <v>1107.1200000000003</v>
      </c>
    </row>
    <row r="770" spans="1:11" x14ac:dyDescent="0.25">
      <c r="A770" s="2">
        <v>45486</v>
      </c>
      <c r="B770" s="1" t="s">
        <v>18</v>
      </c>
      <c r="C770" s="1" t="s">
        <v>19</v>
      </c>
      <c r="D770" s="1" t="s">
        <v>27</v>
      </c>
      <c r="E770" s="1" t="s">
        <v>20</v>
      </c>
      <c r="F770" s="1">
        <v>10</v>
      </c>
      <c r="G770" s="1">
        <v>1188.0899999999999</v>
      </c>
      <c r="H770" s="1">
        <v>842.14</v>
      </c>
      <c r="I770" s="1">
        <f>TablaVentas[[#This Row],[Precio Unitario]]*TablaVentas[[#This Row],[Cantidad]]</f>
        <v>11880.9</v>
      </c>
      <c r="J770" s="1">
        <f>TablaVentas[[#This Row],[Costo Unitario]]*TablaVentas[[#This Row],[Cantidad]]</f>
        <v>8421.4</v>
      </c>
      <c r="K770" s="1">
        <f>TablaVentas[[#This Row],[Total Venta]]-TablaVentas[[#This Row],[Total Costo]]</f>
        <v>3459.5</v>
      </c>
    </row>
    <row r="771" spans="1:11" x14ac:dyDescent="0.25">
      <c r="A771" s="2">
        <v>45487</v>
      </c>
      <c r="B771" s="1" t="s">
        <v>23</v>
      </c>
      <c r="C771" s="1" t="s">
        <v>9</v>
      </c>
      <c r="D771" s="1" t="s">
        <v>27</v>
      </c>
      <c r="E771" s="1" t="s">
        <v>28</v>
      </c>
      <c r="F771" s="1">
        <v>6</v>
      </c>
      <c r="G771" s="1">
        <v>76.430000000000007</v>
      </c>
      <c r="H771" s="1">
        <v>49.4</v>
      </c>
      <c r="I771" s="1">
        <f>TablaVentas[[#This Row],[Precio Unitario]]*TablaVentas[[#This Row],[Cantidad]]</f>
        <v>458.58000000000004</v>
      </c>
      <c r="J771" s="1">
        <f>TablaVentas[[#This Row],[Costo Unitario]]*TablaVentas[[#This Row],[Cantidad]]</f>
        <v>296.39999999999998</v>
      </c>
      <c r="K771" s="1">
        <f>TablaVentas[[#This Row],[Total Venta]]-TablaVentas[[#This Row],[Total Costo]]</f>
        <v>162.18000000000006</v>
      </c>
    </row>
    <row r="772" spans="1:11" x14ac:dyDescent="0.25">
      <c r="A772" s="2">
        <v>45488</v>
      </c>
      <c r="B772" s="1" t="s">
        <v>8</v>
      </c>
      <c r="C772" s="1" t="s">
        <v>9</v>
      </c>
      <c r="D772" s="1" t="s">
        <v>17</v>
      </c>
      <c r="E772" s="1" t="s">
        <v>28</v>
      </c>
      <c r="F772" s="1">
        <v>6</v>
      </c>
      <c r="G772" s="1">
        <v>708.53</v>
      </c>
      <c r="H772" s="1">
        <v>464.43</v>
      </c>
      <c r="I772" s="1">
        <f>TablaVentas[[#This Row],[Precio Unitario]]*TablaVentas[[#This Row],[Cantidad]]</f>
        <v>4251.18</v>
      </c>
      <c r="J772" s="1">
        <f>TablaVentas[[#This Row],[Costo Unitario]]*TablaVentas[[#This Row],[Cantidad]]</f>
        <v>2786.58</v>
      </c>
      <c r="K772" s="1">
        <f>TablaVentas[[#This Row],[Total Venta]]-TablaVentas[[#This Row],[Total Costo]]</f>
        <v>1464.6000000000004</v>
      </c>
    </row>
    <row r="773" spans="1:11" x14ac:dyDescent="0.25">
      <c r="A773" s="2">
        <v>45489</v>
      </c>
      <c r="B773" s="1" t="s">
        <v>34</v>
      </c>
      <c r="C773" s="1" t="s">
        <v>13</v>
      </c>
      <c r="D773" s="1" t="s">
        <v>25</v>
      </c>
      <c r="E773" s="1" t="s">
        <v>15</v>
      </c>
      <c r="F773" s="1">
        <v>6</v>
      </c>
      <c r="G773" s="1">
        <v>248.09</v>
      </c>
      <c r="H773" s="1">
        <v>181.32</v>
      </c>
      <c r="I773" s="1">
        <f>TablaVentas[[#This Row],[Precio Unitario]]*TablaVentas[[#This Row],[Cantidad]]</f>
        <v>1488.54</v>
      </c>
      <c r="J773" s="1">
        <f>TablaVentas[[#This Row],[Costo Unitario]]*TablaVentas[[#This Row],[Cantidad]]</f>
        <v>1087.92</v>
      </c>
      <c r="K773" s="1">
        <f>TablaVentas[[#This Row],[Total Venta]]-TablaVentas[[#This Row],[Total Costo]]</f>
        <v>400.61999999999989</v>
      </c>
    </row>
    <row r="774" spans="1:11" x14ac:dyDescent="0.25">
      <c r="A774" s="2">
        <v>45489</v>
      </c>
      <c r="B774" s="1" t="s">
        <v>26</v>
      </c>
      <c r="C774" s="1" t="s">
        <v>19</v>
      </c>
      <c r="D774" s="1" t="s">
        <v>25</v>
      </c>
      <c r="E774" s="1" t="s">
        <v>22</v>
      </c>
      <c r="F774" s="1">
        <v>4</v>
      </c>
      <c r="G774" s="1">
        <v>45.34</v>
      </c>
      <c r="H774" s="1">
        <v>22.6</v>
      </c>
      <c r="I774" s="1">
        <f>TablaVentas[[#This Row],[Precio Unitario]]*TablaVentas[[#This Row],[Cantidad]]</f>
        <v>181.36</v>
      </c>
      <c r="J774" s="1">
        <f>TablaVentas[[#This Row],[Costo Unitario]]*TablaVentas[[#This Row],[Cantidad]]</f>
        <v>90.4</v>
      </c>
      <c r="K774" s="1">
        <f>TablaVentas[[#This Row],[Total Venta]]-TablaVentas[[#This Row],[Total Costo]]</f>
        <v>90.960000000000008</v>
      </c>
    </row>
    <row r="775" spans="1:11" x14ac:dyDescent="0.25">
      <c r="A775" s="2">
        <v>45490</v>
      </c>
      <c r="B775" s="1" t="s">
        <v>32</v>
      </c>
      <c r="C775" s="1" t="s">
        <v>30</v>
      </c>
      <c r="D775" s="1" t="s">
        <v>25</v>
      </c>
      <c r="E775" s="1" t="s">
        <v>28</v>
      </c>
      <c r="F775" s="1">
        <v>5</v>
      </c>
      <c r="G775" s="1">
        <v>341.1</v>
      </c>
      <c r="H775" s="1">
        <v>210.28</v>
      </c>
      <c r="I775" s="1">
        <f>TablaVentas[[#This Row],[Precio Unitario]]*TablaVentas[[#This Row],[Cantidad]]</f>
        <v>1705.5</v>
      </c>
      <c r="J775" s="1">
        <f>TablaVentas[[#This Row],[Costo Unitario]]*TablaVentas[[#This Row],[Cantidad]]</f>
        <v>1051.4000000000001</v>
      </c>
      <c r="K775" s="1">
        <f>TablaVentas[[#This Row],[Total Venta]]-TablaVentas[[#This Row],[Total Costo]]</f>
        <v>654.09999999999991</v>
      </c>
    </row>
    <row r="776" spans="1:11" x14ac:dyDescent="0.25">
      <c r="A776" s="2">
        <v>45490</v>
      </c>
      <c r="B776" s="1" t="s">
        <v>21</v>
      </c>
      <c r="C776" s="1" t="s">
        <v>19</v>
      </c>
      <c r="D776" s="1" t="s">
        <v>24</v>
      </c>
      <c r="E776" s="1" t="s">
        <v>22</v>
      </c>
      <c r="F776" s="1">
        <v>1</v>
      </c>
      <c r="G776" s="1">
        <v>85.12</v>
      </c>
      <c r="H776" s="1">
        <v>53.28</v>
      </c>
      <c r="I776" s="1">
        <f>TablaVentas[[#This Row],[Precio Unitario]]*TablaVentas[[#This Row],[Cantidad]]</f>
        <v>85.12</v>
      </c>
      <c r="J776" s="1">
        <f>TablaVentas[[#This Row],[Costo Unitario]]*TablaVentas[[#This Row],[Cantidad]]</f>
        <v>53.28</v>
      </c>
      <c r="K776" s="1">
        <f>TablaVentas[[#This Row],[Total Venta]]-TablaVentas[[#This Row],[Total Costo]]</f>
        <v>31.840000000000003</v>
      </c>
    </row>
    <row r="777" spans="1:11" x14ac:dyDescent="0.25">
      <c r="A777" s="2">
        <v>45492</v>
      </c>
      <c r="B777" s="1" t="s">
        <v>8</v>
      </c>
      <c r="C777" s="1" t="s">
        <v>9</v>
      </c>
      <c r="D777" s="1" t="s">
        <v>33</v>
      </c>
      <c r="E777" s="1" t="s">
        <v>11</v>
      </c>
      <c r="F777" s="1">
        <v>1</v>
      </c>
      <c r="G777" s="1">
        <v>714.37</v>
      </c>
      <c r="H777" s="1">
        <v>508.86</v>
      </c>
      <c r="I777" s="1">
        <f>TablaVentas[[#This Row],[Precio Unitario]]*TablaVentas[[#This Row],[Cantidad]]</f>
        <v>714.37</v>
      </c>
      <c r="J777" s="1">
        <f>TablaVentas[[#This Row],[Costo Unitario]]*TablaVentas[[#This Row],[Cantidad]]</f>
        <v>508.86</v>
      </c>
      <c r="K777" s="1">
        <f>TablaVentas[[#This Row],[Total Venta]]-TablaVentas[[#This Row],[Total Costo]]</f>
        <v>205.51</v>
      </c>
    </row>
    <row r="778" spans="1:11" x14ac:dyDescent="0.25">
      <c r="A778" s="2">
        <v>45492</v>
      </c>
      <c r="B778" s="1" t="s">
        <v>21</v>
      </c>
      <c r="C778" s="1" t="s">
        <v>19</v>
      </c>
      <c r="D778" s="1" t="s">
        <v>33</v>
      </c>
      <c r="E778" s="1" t="s">
        <v>20</v>
      </c>
      <c r="F778" s="1">
        <v>6</v>
      </c>
      <c r="G778" s="1">
        <v>84.34</v>
      </c>
      <c r="H778" s="1">
        <v>51.96</v>
      </c>
      <c r="I778" s="1">
        <f>TablaVentas[[#This Row],[Precio Unitario]]*TablaVentas[[#This Row],[Cantidad]]</f>
        <v>506.04</v>
      </c>
      <c r="J778" s="1">
        <f>TablaVentas[[#This Row],[Costo Unitario]]*TablaVentas[[#This Row],[Cantidad]]</f>
        <v>311.76</v>
      </c>
      <c r="K778" s="1">
        <f>TablaVentas[[#This Row],[Total Venta]]-TablaVentas[[#This Row],[Total Costo]]</f>
        <v>194.28000000000003</v>
      </c>
    </row>
    <row r="779" spans="1:11" x14ac:dyDescent="0.25">
      <c r="A779" s="2">
        <v>45492</v>
      </c>
      <c r="B779" s="1" t="s">
        <v>8</v>
      </c>
      <c r="C779" s="1" t="s">
        <v>9</v>
      </c>
      <c r="D779" s="1" t="s">
        <v>14</v>
      </c>
      <c r="E779" s="1" t="s">
        <v>22</v>
      </c>
      <c r="F779" s="1">
        <v>8</v>
      </c>
      <c r="G779" s="1">
        <v>757.72</v>
      </c>
      <c r="H779" s="1">
        <v>438.7</v>
      </c>
      <c r="I779" s="1">
        <f>TablaVentas[[#This Row],[Precio Unitario]]*TablaVentas[[#This Row],[Cantidad]]</f>
        <v>6061.76</v>
      </c>
      <c r="J779" s="1">
        <f>TablaVentas[[#This Row],[Costo Unitario]]*TablaVentas[[#This Row],[Cantidad]]</f>
        <v>3509.6</v>
      </c>
      <c r="K779" s="1">
        <f>TablaVentas[[#This Row],[Total Venta]]-TablaVentas[[#This Row],[Total Costo]]</f>
        <v>2552.1600000000003</v>
      </c>
    </row>
    <row r="780" spans="1:11" x14ac:dyDescent="0.25">
      <c r="A780" s="2">
        <v>45493</v>
      </c>
      <c r="B780" s="1" t="s">
        <v>21</v>
      </c>
      <c r="C780" s="1" t="s">
        <v>19</v>
      </c>
      <c r="D780" s="1" t="s">
        <v>17</v>
      </c>
      <c r="E780" s="1" t="s">
        <v>20</v>
      </c>
      <c r="F780" s="1">
        <v>3</v>
      </c>
      <c r="G780" s="1">
        <v>87.07</v>
      </c>
      <c r="H780" s="1">
        <v>51.45</v>
      </c>
      <c r="I780" s="1">
        <f>TablaVentas[[#This Row],[Precio Unitario]]*TablaVentas[[#This Row],[Cantidad]]</f>
        <v>261.20999999999998</v>
      </c>
      <c r="J780" s="1">
        <f>TablaVentas[[#This Row],[Costo Unitario]]*TablaVentas[[#This Row],[Cantidad]]</f>
        <v>154.35000000000002</v>
      </c>
      <c r="K780" s="1">
        <f>TablaVentas[[#This Row],[Total Venta]]-TablaVentas[[#This Row],[Total Costo]]</f>
        <v>106.85999999999996</v>
      </c>
    </row>
    <row r="781" spans="1:11" x14ac:dyDescent="0.25">
      <c r="A781" s="2">
        <v>45494</v>
      </c>
      <c r="B781" s="1" t="s">
        <v>29</v>
      </c>
      <c r="C781" s="1" t="s">
        <v>30</v>
      </c>
      <c r="D781" s="1" t="s">
        <v>17</v>
      </c>
      <c r="E781" s="1" t="s">
        <v>15</v>
      </c>
      <c r="F781" s="1">
        <v>10</v>
      </c>
      <c r="G781" s="1">
        <v>426.25</v>
      </c>
      <c r="H781" s="1">
        <v>283.27999999999997</v>
      </c>
      <c r="I781" s="1">
        <f>TablaVentas[[#This Row],[Precio Unitario]]*TablaVentas[[#This Row],[Cantidad]]</f>
        <v>4262.5</v>
      </c>
      <c r="J781" s="1">
        <f>TablaVentas[[#This Row],[Costo Unitario]]*TablaVentas[[#This Row],[Cantidad]]</f>
        <v>2832.7999999999997</v>
      </c>
      <c r="K781" s="1">
        <f>TablaVentas[[#This Row],[Total Venta]]-TablaVentas[[#This Row],[Total Costo]]</f>
        <v>1429.7000000000003</v>
      </c>
    </row>
    <row r="782" spans="1:11" x14ac:dyDescent="0.25">
      <c r="A782" s="2">
        <v>45494</v>
      </c>
      <c r="B782" s="1" t="s">
        <v>16</v>
      </c>
      <c r="C782" s="1" t="s">
        <v>13</v>
      </c>
      <c r="D782" s="1" t="s">
        <v>31</v>
      </c>
      <c r="E782" s="1" t="s">
        <v>20</v>
      </c>
      <c r="F782" s="1">
        <v>7</v>
      </c>
      <c r="G782" s="1">
        <v>55.3</v>
      </c>
      <c r="H782" s="1">
        <v>37.270000000000003</v>
      </c>
      <c r="I782" s="1">
        <f>TablaVentas[[#This Row],[Precio Unitario]]*TablaVentas[[#This Row],[Cantidad]]</f>
        <v>387.09999999999997</v>
      </c>
      <c r="J782" s="1">
        <f>TablaVentas[[#This Row],[Costo Unitario]]*TablaVentas[[#This Row],[Cantidad]]</f>
        <v>260.89000000000004</v>
      </c>
      <c r="K782" s="1">
        <f>TablaVentas[[#This Row],[Total Venta]]-TablaVentas[[#This Row],[Total Costo]]</f>
        <v>126.20999999999992</v>
      </c>
    </row>
    <row r="783" spans="1:11" x14ac:dyDescent="0.25">
      <c r="A783" s="2">
        <v>45494</v>
      </c>
      <c r="B783" s="1" t="s">
        <v>21</v>
      </c>
      <c r="C783" s="1" t="s">
        <v>19</v>
      </c>
      <c r="D783" s="1" t="s">
        <v>31</v>
      </c>
      <c r="E783" s="1" t="s">
        <v>11</v>
      </c>
      <c r="F783" s="1">
        <v>8</v>
      </c>
      <c r="G783" s="1">
        <v>91.58</v>
      </c>
      <c r="H783" s="1">
        <v>55.95</v>
      </c>
      <c r="I783" s="1">
        <f>TablaVentas[[#This Row],[Precio Unitario]]*TablaVentas[[#This Row],[Cantidad]]</f>
        <v>732.64</v>
      </c>
      <c r="J783" s="1">
        <f>TablaVentas[[#This Row],[Costo Unitario]]*TablaVentas[[#This Row],[Cantidad]]</f>
        <v>447.6</v>
      </c>
      <c r="K783" s="1">
        <f>TablaVentas[[#This Row],[Total Venta]]-TablaVentas[[#This Row],[Total Costo]]</f>
        <v>285.03999999999996</v>
      </c>
    </row>
    <row r="784" spans="1:11" x14ac:dyDescent="0.25">
      <c r="A784" s="2">
        <v>45494</v>
      </c>
      <c r="B784" s="1" t="s">
        <v>12</v>
      </c>
      <c r="C784" s="1" t="s">
        <v>13</v>
      </c>
      <c r="D784" s="1" t="s">
        <v>31</v>
      </c>
      <c r="E784" s="1" t="s">
        <v>22</v>
      </c>
      <c r="F784" s="1">
        <v>5</v>
      </c>
      <c r="G784" s="1">
        <v>56.56</v>
      </c>
      <c r="H784" s="1">
        <v>40.69</v>
      </c>
      <c r="I784" s="1">
        <f>TablaVentas[[#This Row],[Precio Unitario]]*TablaVentas[[#This Row],[Cantidad]]</f>
        <v>282.8</v>
      </c>
      <c r="J784" s="1">
        <f>TablaVentas[[#This Row],[Costo Unitario]]*TablaVentas[[#This Row],[Cantidad]]</f>
        <v>203.45</v>
      </c>
      <c r="K784" s="1">
        <f>TablaVentas[[#This Row],[Total Venta]]-TablaVentas[[#This Row],[Total Costo]]</f>
        <v>79.350000000000023</v>
      </c>
    </row>
    <row r="785" spans="1:11" x14ac:dyDescent="0.25">
      <c r="A785" s="2">
        <v>45494</v>
      </c>
      <c r="B785" s="1" t="s">
        <v>23</v>
      </c>
      <c r="C785" s="1" t="s">
        <v>9</v>
      </c>
      <c r="D785" s="1" t="s">
        <v>31</v>
      </c>
      <c r="E785" s="1" t="s">
        <v>15</v>
      </c>
      <c r="F785" s="1">
        <v>8</v>
      </c>
      <c r="G785" s="1">
        <v>65.989999999999995</v>
      </c>
      <c r="H785" s="1">
        <v>43.09</v>
      </c>
      <c r="I785" s="1">
        <f>TablaVentas[[#This Row],[Precio Unitario]]*TablaVentas[[#This Row],[Cantidad]]</f>
        <v>527.91999999999996</v>
      </c>
      <c r="J785" s="1">
        <f>TablaVentas[[#This Row],[Costo Unitario]]*TablaVentas[[#This Row],[Cantidad]]</f>
        <v>344.72</v>
      </c>
      <c r="K785" s="1">
        <f>TablaVentas[[#This Row],[Total Venta]]-TablaVentas[[#This Row],[Total Costo]]</f>
        <v>183.19999999999993</v>
      </c>
    </row>
    <row r="786" spans="1:11" x14ac:dyDescent="0.25">
      <c r="A786" s="2">
        <v>45496</v>
      </c>
      <c r="B786" s="1" t="s">
        <v>23</v>
      </c>
      <c r="C786" s="1" t="s">
        <v>9</v>
      </c>
      <c r="D786" s="1" t="s">
        <v>14</v>
      </c>
      <c r="E786" s="1" t="s">
        <v>28</v>
      </c>
      <c r="F786" s="1">
        <v>6</v>
      </c>
      <c r="G786" s="1">
        <v>83.47</v>
      </c>
      <c r="H786" s="1">
        <v>46.89</v>
      </c>
      <c r="I786" s="1">
        <f>TablaVentas[[#This Row],[Precio Unitario]]*TablaVentas[[#This Row],[Cantidad]]</f>
        <v>500.82</v>
      </c>
      <c r="J786" s="1">
        <f>TablaVentas[[#This Row],[Costo Unitario]]*TablaVentas[[#This Row],[Cantidad]]</f>
        <v>281.34000000000003</v>
      </c>
      <c r="K786" s="1">
        <f>TablaVentas[[#This Row],[Total Venta]]-TablaVentas[[#This Row],[Total Costo]]</f>
        <v>219.47999999999996</v>
      </c>
    </row>
    <row r="787" spans="1:11" x14ac:dyDescent="0.25">
      <c r="A787" s="2">
        <v>45498</v>
      </c>
      <c r="B787" s="1" t="s">
        <v>21</v>
      </c>
      <c r="C787" s="1" t="s">
        <v>19</v>
      </c>
      <c r="D787" s="1" t="s">
        <v>33</v>
      </c>
      <c r="E787" s="1" t="s">
        <v>20</v>
      </c>
      <c r="F787" s="1">
        <v>7</v>
      </c>
      <c r="G787" s="1">
        <v>88.52</v>
      </c>
      <c r="H787" s="1">
        <v>55.65</v>
      </c>
      <c r="I787" s="1">
        <f>TablaVentas[[#This Row],[Precio Unitario]]*TablaVentas[[#This Row],[Cantidad]]</f>
        <v>619.64</v>
      </c>
      <c r="J787" s="1">
        <f>TablaVentas[[#This Row],[Costo Unitario]]*TablaVentas[[#This Row],[Cantidad]]</f>
        <v>389.55</v>
      </c>
      <c r="K787" s="1">
        <f>TablaVentas[[#This Row],[Total Venta]]-TablaVentas[[#This Row],[Total Costo]]</f>
        <v>230.08999999999997</v>
      </c>
    </row>
    <row r="788" spans="1:11" x14ac:dyDescent="0.25">
      <c r="A788" s="2">
        <v>45501</v>
      </c>
      <c r="B788" s="1" t="s">
        <v>21</v>
      </c>
      <c r="C788" s="1" t="s">
        <v>19</v>
      </c>
      <c r="D788" s="1" t="s">
        <v>17</v>
      </c>
      <c r="E788" s="1" t="s">
        <v>22</v>
      </c>
      <c r="F788" s="1">
        <v>2</v>
      </c>
      <c r="G788" s="1">
        <v>88.49</v>
      </c>
      <c r="H788" s="1">
        <v>53.23</v>
      </c>
      <c r="I788" s="1">
        <f>TablaVentas[[#This Row],[Precio Unitario]]*TablaVentas[[#This Row],[Cantidad]]</f>
        <v>176.98</v>
      </c>
      <c r="J788" s="1">
        <f>TablaVentas[[#This Row],[Costo Unitario]]*TablaVentas[[#This Row],[Cantidad]]</f>
        <v>106.46</v>
      </c>
      <c r="K788" s="1">
        <f>TablaVentas[[#This Row],[Total Venta]]-TablaVentas[[#This Row],[Total Costo]]</f>
        <v>70.52</v>
      </c>
    </row>
    <row r="789" spans="1:11" x14ac:dyDescent="0.25">
      <c r="A789" s="2">
        <v>45502</v>
      </c>
      <c r="B789" s="1" t="s">
        <v>8</v>
      </c>
      <c r="C789" s="1" t="s">
        <v>9</v>
      </c>
      <c r="D789" s="1" t="s">
        <v>31</v>
      </c>
      <c r="E789" s="1" t="s">
        <v>20</v>
      </c>
      <c r="F789" s="1">
        <v>6</v>
      </c>
      <c r="G789" s="1">
        <v>702.53</v>
      </c>
      <c r="H789" s="1">
        <v>448.46</v>
      </c>
      <c r="I789" s="1">
        <f>TablaVentas[[#This Row],[Precio Unitario]]*TablaVentas[[#This Row],[Cantidad]]</f>
        <v>4215.18</v>
      </c>
      <c r="J789" s="1">
        <f>TablaVentas[[#This Row],[Costo Unitario]]*TablaVentas[[#This Row],[Cantidad]]</f>
        <v>2690.7599999999998</v>
      </c>
      <c r="K789" s="1">
        <f>TablaVentas[[#This Row],[Total Venta]]-TablaVentas[[#This Row],[Total Costo]]</f>
        <v>1524.4200000000005</v>
      </c>
    </row>
    <row r="790" spans="1:11" x14ac:dyDescent="0.25">
      <c r="A790" s="2">
        <v>45503</v>
      </c>
      <c r="B790" s="1" t="s">
        <v>12</v>
      </c>
      <c r="C790" s="1" t="s">
        <v>13</v>
      </c>
      <c r="D790" s="1" t="s">
        <v>24</v>
      </c>
      <c r="E790" s="1" t="s">
        <v>11</v>
      </c>
      <c r="F790" s="1">
        <v>5</v>
      </c>
      <c r="G790" s="1">
        <v>73.05</v>
      </c>
      <c r="H790" s="1">
        <v>45.55</v>
      </c>
      <c r="I790" s="1">
        <f>TablaVentas[[#This Row],[Precio Unitario]]*TablaVentas[[#This Row],[Cantidad]]</f>
        <v>365.25</v>
      </c>
      <c r="J790" s="1">
        <f>TablaVentas[[#This Row],[Costo Unitario]]*TablaVentas[[#This Row],[Cantidad]]</f>
        <v>227.75</v>
      </c>
      <c r="K790" s="1">
        <f>TablaVentas[[#This Row],[Total Venta]]-TablaVentas[[#This Row],[Total Costo]]</f>
        <v>137.5</v>
      </c>
    </row>
    <row r="791" spans="1:11" x14ac:dyDescent="0.25">
      <c r="A791" s="2">
        <v>45504</v>
      </c>
      <c r="B791" s="1" t="s">
        <v>8</v>
      </c>
      <c r="C791" s="1" t="s">
        <v>9</v>
      </c>
      <c r="D791" s="1" t="s">
        <v>10</v>
      </c>
      <c r="E791" s="1" t="s">
        <v>22</v>
      </c>
      <c r="F791" s="1">
        <v>6</v>
      </c>
      <c r="G791" s="1">
        <v>755.09</v>
      </c>
      <c r="H791" s="1">
        <v>467.62</v>
      </c>
      <c r="I791" s="1">
        <f>TablaVentas[[#This Row],[Precio Unitario]]*TablaVentas[[#This Row],[Cantidad]]</f>
        <v>4530.54</v>
      </c>
      <c r="J791" s="1">
        <f>TablaVentas[[#This Row],[Costo Unitario]]*TablaVentas[[#This Row],[Cantidad]]</f>
        <v>2805.7200000000003</v>
      </c>
      <c r="K791" s="1">
        <f>TablaVentas[[#This Row],[Total Venta]]-TablaVentas[[#This Row],[Total Costo]]</f>
        <v>1724.8199999999997</v>
      </c>
    </row>
    <row r="792" spans="1:11" x14ac:dyDescent="0.25">
      <c r="A792" s="2">
        <v>45504</v>
      </c>
      <c r="B792" s="1" t="s">
        <v>12</v>
      </c>
      <c r="C792" s="1" t="s">
        <v>13</v>
      </c>
      <c r="D792" s="1" t="s">
        <v>14</v>
      </c>
      <c r="E792" s="1" t="s">
        <v>28</v>
      </c>
      <c r="F792" s="1">
        <v>4</v>
      </c>
      <c r="G792" s="1">
        <v>70.09</v>
      </c>
      <c r="H792" s="1">
        <v>42.22</v>
      </c>
      <c r="I792" s="1">
        <f>TablaVentas[[#This Row],[Precio Unitario]]*TablaVentas[[#This Row],[Cantidad]]</f>
        <v>280.36</v>
      </c>
      <c r="J792" s="1">
        <f>TablaVentas[[#This Row],[Costo Unitario]]*TablaVentas[[#This Row],[Cantidad]]</f>
        <v>168.88</v>
      </c>
      <c r="K792" s="1">
        <f>TablaVentas[[#This Row],[Total Venta]]-TablaVentas[[#This Row],[Total Costo]]</f>
        <v>111.48000000000002</v>
      </c>
    </row>
    <row r="793" spans="1:11" x14ac:dyDescent="0.25">
      <c r="A793" s="2">
        <v>45504</v>
      </c>
      <c r="B793" s="1" t="s">
        <v>26</v>
      </c>
      <c r="C793" s="1" t="s">
        <v>19</v>
      </c>
      <c r="D793" s="1" t="s">
        <v>10</v>
      </c>
      <c r="E793" s="1" t="s">
        <v>22</v>
      </c>
      <c r="F793" s="1">
        <v>10</v>
      </c>
      <c r="G793" s="1">
        <v>46.5</v>
      </c>
      <c r="H793" s="1">
        <v>26.51</v>
      </c>
      <c r="I793" s="1">
        <f>TablaVentas[[#This Row],[Precio Unitario]]*TablaVentas[[#This Row],[Cantidad]]</f>
        <v>465</v>
      </c>
      <c r="J793" s="1">
        <f>TablaVentas[[#This Row],[Costo Unitario]]*TablaVentas[[#This Row],[Cantidad]]</f>
        <v>265.10000000000002</v>
      </c>
      <c r="K793" s="1">
        <f>TablaVentas[[#This Row],[Total Venta]]-TablaVentas[[#This Row],[Total Costo]]</f>
        <v>199.89999999999998</v>
      </c>
    </row>
    <row r="794" spans="1:11" x14ac:dyDescent="0.25">
      <c r="A794" s="2">
        <v>45506</v>
      </c>
      <c r="B794" s="1" t="s">
        <v>29</v>
      </c>
      <c r="C794" s="1" t="s">
        <v>30</v>
      </c>
      <c r="D794" s="1" t="s">
        <v>27</v>
      </c>
      <c r="E794" s="1" t="s">
        <v>28</v>
      </c>
      <c r="F794" s="1">
        <v>10</v>
      </c>
      <c r="G794" s="1">
        <v>510.11</v>
      </c>
      <c r="H794" s="1">
        <v>319.51</v>
      </c>
      <c r="I794" s="1">
        <f>TablaVentas[[#This Row],[Precio Unitario]]*TablaVentas[[#This Row],[Cantidad]]</f>
        <v>5101.1000000000004</v>
      </c>
      <c r="J794" s="1">
        <f>TablaVentas[[#This Row],[Costo Unitario]]*TablaVentas[[#This Row],[Cantidad]]</f>
        <v>3195.1</v>
      </c>
      <c r="K794" s="1">
        <f>TablaVentas[[#This Row],[Total Venta]]-TablaVentas[[#This Row],[Total Costo]]</f>
        <v>1906.0000000000005</v>
      </c>
    </row>
    <row r="795" spans="1:11" x14ac:dyDescent="0.25">
      <c r="A795" s="2">
        <v>45506</v>
      </c>
      <c r="B795" s="1" t="s">
        <v>34</v>
      </c>
      <c r="C795" s="1" t="s">
        <v>13</v>
      </c>
      <c r="D795" s="1" t="s">
        <v>10</v>
      </c>
      <c r="E795" s="1" t="s">
        <v>11</v>
      </c>
      <c r="F795" s="1">
        <v>1</v>
      </c>
      <c r="G795" s="1">
        <v>285.39999999999998</v>
      </c>
      <c r="H795" s="1">
        <v>187.62</v>
      </c>
      <c r="I795" s="1">
        <f>TablaVentas[[#This Row],[Precio Unitario]]*TablaVentas[[#This Row],[Cantidad]]</f>
        <v>285.39999999999998</v>
      </c>
      <c r="J795" s="1">
        <f>TablaVentas[[#This Row],[Costo Unitario]]*TablaVentas[[#This Row],[Cantidad]]</f>
        <v>187.62</v>
      </c>
      <c r="K795" s="1">
        <f>TablaVentas[[#This Row],[Total Venta]]-TablaVentas[[#This Row],[Total Costo]]</f>
        <v>97.779999999999973</v>
      </c>
    </row>
    <row r="796" spans="1:11" x14ac:dyDescent="0.25">
      <c r="A796" s="2">
        <v>45506</v>
      </c>
      <c r="B796" s="1" t="s">
        <v>16</v>
      </c>
      <c r="C796" s="1" t="s">
        <v>13</v>
      </c>
      <c r="D796" s="1" t="s">
        <v>17</v>
      </c>
      <c r="E796" s="1" t="s">
        <v>11</v>
      </c>
      <c r="F796" s="1">
        <v>7</v>
      </c>
      <c r="G796" s="1">
        <v>55.25</v>
      </c>
      <c r="H796" s="1">
        <v>37.08</v>
      </c>
      <c r="I796" s="1">
        <f>TablaVentas[[#This Row],[Precio Unitario]]*TablaVentas[[#This Row],[Cantidad]]</f>
        <v>386.75</v>
      </c>
      <c r="J796" s="1">
        <f>TablaVentas[[#This Row],[Costo Unitario]]*TablaVentas[[#This Row],[Cantidad]]</f>
        <v>259.56</v>
      </c>
      <c r="K796" s="1">
        <f>TablaVentas[[#This Row],[Total Venta]]-TablaVentas[[#This Row],[Total Costo]]</f>
        <v>127.19</v>
      </c>
    </row>
    <row r="797" spans="1:11" x14ac:dyDescent="0.25">
      <c r="A797" s="2">
        <v>45507</v>
      </c>
      <c r="B797" s="1" t="s">
        <v>23</v>
      </c>
      <c r="C797" s="1" t="s">
        <v>9</v>
      </c>
      <c r="D797" s="1" t="s">
        <v>14</v>
      </c>
      <c r="E797" s="1" t="s">
        <v>15</v>
      </c>
      <c r="F797" s="1">
        <v>3</v>
      </c>
      <c r="G797" s="1">
        <v>84.06</v>
      </c>
      <c r="H797" s="1">
        <v>47.68</v>
      </c>
      <c r="I797" s="1">
        <f>TablaVentas[[#This Row],[Precio Unitario]]*TablaVentas[[#This Row],[Cantidad]]</f>
        <v>252.18</v>
      </c>
      <c r="J797" s="1">
        <f>TablaVentas[[#This Row],[Costo Unitario]]*TablaVentas[[#This Row],[Cantidad]]</f>
        <v>143.04</v>
      </c>
      <c r="K797" s="1">
        <f>TablaVentas[[#This Row],[Total Venta]]-TablaVentas[[#This Row],[Total Costo]]</f>
        <v>109.14000000000001</v>
      </c>
    </row>
    <row r="798" spans="1:11" x14ac:dyDescent="0.25">
      <c r="A798" s="2">
        <v>45507</v>
      </c>
      <c r="B798" s="1" t="s">
        <v>21</v>
      </c>
      <c r="C798" s="1" t="s">
        <v>19</v>
      </c>
      <c r="D798" s="1" t="s">
        <v>31</v>
      </c>
      <c r="E798" s="1" t="s">
        <v>22</v>
      </c>
      <c r="F798" s="1">
        <v>7</v>
      </c>
      <c r="G798" s="1">
        <v>79.17</v>
      </c>
      <c r="H798" s="1">
        <v>49.2</v>
      </c>
      <c r="I798" s="1">
        <f>TablaVentas[[#This Row],[Precio Unitario]]*TablaVentas[[#This Row],[Cantidad]]</f>
        <v>554.19000000000005</v>
      </c>
      <c r="J798" s="1">
        <f>TablaVentas[[#This Row],[Costo Unitario]]*TablaVentas[[#This Row],[Cantidad]]</f>
        <v>344.40000000000003</v>
      </c>
      <c r="K798" s="1">
        <f>TablaVentas[[#This Row],[Total Venta]]-TablaVentas[[#This Row],[Total Costo]]</f>
        <v>209.79000000000002</v>
      </c>
    </row>
    <row r="799" spans="1:11" x14ac:dyDescent="0.25">
      <c r="A799" s="2">
        <v>45510</v>
      </c>
      <c r="B799" s="1" t="s">
        <v>29</v>
      </c>
      <c r="C799" s="1" t="s">
        <v>30</v>
      </c>
      <c r="D799" s="1" t="s">
        <v>31</v>
      </c>
      <c r="E799" s="1" t="s">
        <v>20</v>
      </c>
      <c r="F799" s="1">
        <v>9</v>
      </c>
      <c r="G799" s="1">
        <v>458.82</v>
      </c>
      <c r="H799" s="1">
        <v>325.47000000000003</v>
      </c>
      <c r="I799" s="1">
        <f>TablaVentas[[#This Row],[Precio Unitario]]*TablaVentas[[#This Row],[Cantidad]]</f>
        <v>4129.38</v>
      </c>
      <c r="J799" s="1">
        <f>TablaVentas[[#This Row],[Costo Unitario]]*TablaVentas[[#This Row],[Cantidad]]</f>
        <v>2929.2300000000005</v>
      </c>
      <c r="K799" s="1">
        <f>TablaVentas[[#This Row],[Total Venta]]-TablaVentas[[#This Row],[Total Costo]]</f>
        <v>1200.1499999999996</v>
      </c>
    </row>
    <row r="800" spans="1:11" x14ac:dyDescent="0.25">
      <c r="A800" s="2">
        <v>45510</v>
      </c>
      <c r="B800" s="1" t="s">
        <v>18</v>
      </c>
      <c r="C800" s="1" t="s">
        <v>19</v>
      </c>
      <c r="D800" s="1" t="s">
        <v>17</v>
      </c>
      <c r="E800" s="1" t="s">
        <v>11</v>
      </c>
      <c r="F800" s="1">
        <v>5</v>
      </c>
      <c r="G800" s="1">
        <v>1063.78</v>
      </c>
      <c r="H800" s="1">
        <v>833.19</v>
      </c>
      <c r="I800" s="1">
        <f>TablaVentas[[#This Row],[Precio Unitario]]*TablaVentas[[#This Row],[Cantidad]]</f>
        <v>5318.9</v>
      </c>
      <c r="J800" s="1">
        <f>TablaVentas[[#This Row],[Costo Unitario]]*TablaVentas[[#This Row],[Cantidad]]</f>
        <v>4165.9500000000007</v>
      </c>
      <c r="K800" s="1">
        <f>TablaVentas[[#This Row],[Total Venta]]-TablaVentas[[#This Row],[Total Costo]]</f>
        <v>1152.9499999999989</v>
      </c>
    </row>
    <row r="801" spans="1:11" x14ac:dyDescent="0.25">
      <c r="A801" s="2">
        <v>45511</v>
      </c>
      <c r="B801" s="1" t="s">
        <v>29</v>
      </c>
      <c r="C801" s="1" t="s">
        <v>30</v>
      </c>
      <c r="D801" s="1" t="s">
        <v>10</v>
      </c>
      <c r="E801" s="1" t="s">
        <v>20</v>
      </c>
      <c r="F801" s="1">
        <v>6</v>
      </c>
      <c r="G801" s="1">
        <v>415.33</v>
      </c>
      <c r="H801" s="1">
        <v>328.58</v>
      </c>
      <c r="I801" s="1">
        <f>TablaVentas[[#This Row],[Precio Unitario]]*TablaVentas[[#This Row],[Cantidad]]</f>
        <v>2491.98</v>
      </c>
      <c r="J801" s="1">
        <f>TablaVentas[[#This Row],[Costo Unitario]]*TablaVentas[[#This Row],[Cantidad]]</f>
        <v>1971.48</v>
      </c>
      <c r="K801" s="1">
        <f>TablaVentas[[#This Row],[Total Venta]]-TablaVentas[[#This Row],[Total Costo]]</f>
        <v>520.5</v>
      </c>
    </row>
    <row r="802" spans="1:11" x14ac:dyDescent="0.25">
      <c r="A802" s="2">
        <v>45511</v>
      </c>
      <c r="B802" s="1" t="s">
        <v>32</v>
      </c>
      <c r="C802" s="1" t="s">
        <v>30</v>
      </c>
      <c r="D802" s="1" t="s">
        <v>27</v>
      </c>
      <c r="E802" s="1" t="s">
        <v>22</v>
      </c>
      <c r="F802" s="1">
        <v>1</v>
      </c>
      <c r="G802" s="1">
        <v>335.45</v>
      </c>
      <c r="H802" s="1">
        <v>197.39</v>
      </c>
      <c r="I802" s="1">
        <f>TablaVentas[[#This Row],[Precio Unitario]]*TablaVentas[[#This Row],[Cantidad]]</f>
        <v>335.45</v>
      </c>
      <c r="J802" s="1">
        <f>TablaVentas[[#This Row],[Costo Unitario]]*TablaVentas[[#This Row],[Cantidad]]</f>
        <v>197.39</v>
      </c>
      <c r="K802" s="1">
        <f>TablaVentas[[#This Row],[Total Venta]]-TablaVentas[[#This Row],[Total Costo]]</f>
        <v>138.06</v>
      </c>
    </row>
    <row r="803" spans="1:11" x14ac:dyDescent="0.25">
      <c r="A803" s="2">
        <v>45512</v>
      </c>
      <c r="B803" s="1" t="s">
        <v>23</v>
      </c>
      <c r="C803" s="1" t="s">
        <v>9</v>
      </c>
      <c r="D803" s="1" t="s">
        <v>25</v>
      </c>
      <c r="E803" s="1" t="s">
        <v>15</v>
      </c>
      <c r="F803" s="1">
        <v>10</v>
      </c>
      <c r="G803" s="1">
        <v>66</v>
      </c>
      <c r="H803" s="1">
        <v>41</v>
      </c>
      <c r="I803" s="1">
        <f>TablaVentas[[#This Row],[Precio Unitario]]*TablaVentas[[#This Row],[Cantidad]]</f>
        <v>660</v>
      </c>
      <c r="J803" s="1">
        <f>TablaVentas[[#This Row],[Costo Unitario]]*TablaVentas[[#This Row],[Cantidad]]</f>
        <v>410</v>
      </c>
      <c r="K803" s="1">
        <f>TablaVentas[[#This Row],[Total Venta]]-TablaVentas[[#This Row],[Total Costo]]</f>
        <v>250</v>
      </c>
    </row>
    <row r="804" spans="1:11" x14ac:dyDescent="0.25">
      <c r="A804" s="2">
        <v>45513</v>
      </c>
      <c r="B804" s="1" t="s">
        <v>16</v>
      </c>
      <c r="C804" s="1" t="s">
        <v>13</v>
      </c>
      <c r="D804" s="1" t="s">
        <v>24</v>
      </c>
      <c r="E804" s="1" t="s">
        <v>15</v>
      </c>
      <c r="F804" s="1">
        <v>8</v>
      </c>
      <c r="G804" s="1">
        <v>49.75</v>
      </c>
      <c r="H804" s="1">
        <v>33.479999999999997</v>
      </c>
      <c r="I804" s="1">
        <f>TablaVentas[[#This Row],[Precio Unitario]]*TablaVentas[[#This Row],[Cantidad]]</f>
        <v>398</v>
      </c>
      <c r="J804" s="1">
        <f>TablaVentas[[#This Row],[Costo Unitario]]*TablaVentas[[#This Row],[Cantidad]]</f>
        <v>267.83999999999997</v>
      </c>
      <c r="K804" s="1">
        <f>TablaVentas[[#This Row],[Total Venta]]-TablaVentas[[#This Row],[Total Costo]]</f>
        <v>130.16000000000003</v>
      </c>
    </row>
    <row r="805" spans="1:11" x14ac:dyDescent="0.25">
      <c r="A805" s="2">
        <v>45513</v>
      </c>
      <c r="B805" s="1" t="s">
        <v>26</v>
      </c>
      <c r="C805" s="1" t="s">
        <v>19</v>
      </c>
      <c r="D805" s="1" t="s">
        <v>10</v>
      </c>
      <c r="E805" s="1" t="s">
        <v>20</v>
      </c>
      <c r="F805" s="1">
        <v>6</v>
      </c>
      <c r="G805" s="1">
        <v>40.090000000000003</v>
      </c>
      <c r="H805" s="1">
        <v>26.46</v>
      </c>
      <c r="I805" s="1">
        <f>TablaVentas[[#This Row],[Precio Unitario]]*TablaVentas[[#This Row],[Cantidad]]</f>
        <v>240.54000000000002</v>
      </c>
      <c r="J805" s="1">
        <f>TablaVentas[[#This Row],[Costo Unitario]]*TablaVentas[[#This Row],[Cantidad]]</f>
        <v>158.76</v>
      </c>
      <c r="K805" s="1">
        <f>TablaVentas[[#This Row],[Total Venta]]-TablaVentas[[#This Row],[Total Costo]]</f>
        <v>81.78000000000003</v>
      </c>
    </row>
    <row r="806" spans="1:11" x14ac:dyDescent="0.25">
      <c r="A806" s="2">
        <v>45514</v>
      </c>
      <c r="B806" s="1" t="s">
        <v>16</v>
      </c>
      <c r="C806" s="1" t="s">
        <v>13</v>
      </c>
      <c r="D806" s="1" t="s">
        <v>33</v>
      </c>
      <c r="E806" s="1" t="s">
        <v>15</v>
      </c>
      <c r="F806" s="1">
        <v>7</v>
      </c>
      <c r="G806" s="1">
        <v>47.03</v>
      </c>
      <c r="H806" s="1">
        <v>33.869999999999997</v>
      </c>
      <c r="I806" s="1">
        <f>TablaVentas[[#This Row],[Precio Unitario]]*TablaVentas[[#This Row],[Cantidad]]</f>
        <v>329.21000000000004</v>
      </c>
      <c r="J806" s="1">
        <f>TablaVentas[[#This Row],[Costo Unitario]]*TablaVentas[[#This Row],[Cantidad]]</f>
        <v>237.08999999999997</v>
      </c>
      <c r="K806" s="1">
        <f>TablaVentas[[#This Row],[Total Venta]]-TablaVentas[[#This Row],[Total Costo]]</f>
        <v>92.120000000000061</v>
      </c>
    </row>
    <row r="807" spans="1:11" x14ac:dyDescent="0.25">
      <c r="A807" s="2">
        <v>45514</v>
      </c>
      <c r="B807" s="1" t="s">
        <v>26</v>
      </c>
      <c r="C807" s="1" t="s">
        <v>19</v>
      </c>
      <c r="D807" s="1" t="s">
        <v>10</v>
      </c>
      <c r="E807" s="1" t="s">
        <v>22</v>
      </c>
      <c r="F807" s="1">
        <v>1</v>
      </c>
      <c r="G807" s="1">
        <v>38.94</v>
      </c>
      <c r="H807" s="1">
        <v>23.43</v>
      </c>
      <c r="I807" s="1">
        <f>TablaVentas[[#This Row],[Precio Unitario]]*TablaVentas[[#This Row],[Cantidad]]</f>
        <v>38.94</v>
      </c>
      <c r="J807" s="1">
        <f>TablaVentas[[#This Row],[Costo Unitario]]*TablaVentas[[#This Row],[Cantidad]]</f>
        <v>23.43</v>
      </c>
      <c r="K807" s="1">
        <f>TablaVentas[[#This Row],[Total Venta]]-TablaVentas[[#This Row],[Total Costo]]</f>
        <v>15.509999999999998</v>
      </c>
    </row>
    <row r="808" spans="1:11" x14ac:dyDescent="0.25">
      <c r="A808" s="2">
        <v>45514</v>
      </c>
      <c r="B808" s="1" t="s">
        <v>21</v>
      </c>
      <c r="C808" s="1" t="s">
        <v>19</v>
      </c>
      <c r="D808" s="1" t="s">
        <v>24</v>
      </c>
      <c r="E808" s="1" t="s">
        <v>20</v>
      </c>
      <c r="F808" s="1">
        <v>8</v>
      </c>
      <c r="G808" s="1">
        <v>97.32</v>
      </c>
      <c r="H808" s="1">
        <v>53.66</v>
      </c>
      <c r="I808" s="1">
        <f>TablaVentas[[#This Row],[Precio Unitario]]*TablaVentas[[#This Row],[Cantidad]]</f>
        <v>778.56</v>
      </c>
      <c r="J808" s="1">
        <f>TablaVentas[[#This Row],[Costo Unitario]]*TablaVentas[[#This Row],[Cantidad]]</f>
        <v>429.28</v>
      </c>
      <c r="K808" s="1">
        <f>TablaVentas[[#This Row],[Total Venta]]-TablaVentas[[#This Row],[Total Costo]]</f>
        <v>349.28</v>
      </c>
    </row>
    <row r="809" spans="1:11" x14ac:dyDescent="0.25">
      <c r="A809" s="2">
        <v>45515</v>
      </c>
      <c r="B809" s="1" t="s">
        <v>21</v>
      </c>
      <c r="C809" s="1" t="s">
        <v>19</v>
      </c>
      <c r="D809" s="1" t="s">
        <v>24</v>
      </c>
      <c r="E809" s="1" t="s">
        <v>11</v>
      </c>
      <c r="F809" s="1">
        <v>4</v>
      </c>
      <c r="G809" s="1">
        <v>89.51</v>
      </c>
      <c r="H809" s="1">
        <v>54.21</v>
      </c>
      <c r="I809" s="1">
        <f>TablaVentas[[#This Row],[Precio Unitario]]*TablaVentas[[#This Row],[Cantidad]]</f>
        <v>358.04</v>
      </c>
      <c r="J809" s="1">
        <f>TablaVentas[[#This Row],[Costo Unitario]]*TablaVentas[[#This Row],[Cantidad]]</f>
        <v>216.84</v>
      </c>
      <c r="K809" s="1">
        <f>TablaVentas[[#This Row],[Total Venta]]-TablaVentas[[#This Row],[Total Costo]]</f>
        <v>141.20000000000002</v>
      </c>
    </row>
    <row r="810" spans="1:11" x14ac:dyDescent="0.25">
      <c r="A810" s="2">
        <v>45516</v>
      </c>
      <c r="B810" s="1" t="s">
        <v>21</v>
      </c>
      <c r="C810" s="1" t="s">
        <v>19</v>
      </c>
      <c r="D810" s="1" t="s">
        <v>24</v>
      </c>
      <c r="E810" s="1" t="s">
        <v>15</v>
      </c>
      <c r="F810" s="1">
        <v>1</v>
      </c>
      <c r="G810" s="1">
        <v>96.83</v>
      </c>
      <c r="H810" s="1">
        <v>50.75</v>
      </c>
      <c r="I810" s="1">
        <f>TablaVentas[[#This Row],[Precio Unitario]]*TablaVentas[[#This Row],[Cantidad]]</f>
        <v>96.83</v>
      </c>
      <c r="J810" s="1">
        <f>TablaVentas[[#This Row],[Costo Unitario]]*TablaVentas[[#This Row],[Cantidad]]</f>
        <v>50.75</v>
      </c>
      <c r="K810" s="1">
        <f>TablaVentas[[#This Row],[Total Venta]]-TablaVentas[[#This Row],[Total Costo]]</f>
        <v>46.08</v>
      </c>
    </row>
    <row r="811" spans="1:11" x14ac:dyDescent="0.25">
      <c r="A811" s="2">
        <v>45516</v>
      </c>
      <c r="B811" s="1" t="s">
        <v>34</v>
      </c>
      <c r="C811" s="1" t="s">
        <v>13</v>
      </c>
      <c r="D811" s="1" t="s">
        <v>14</v>
      </c>
      <c r="E811" s="1" t="s">
        <v>22</v>
      </c>
      <c r="F811" s="1">
        <v>9</v>
      </c>
      <c r="G811" s="1">
        <v>310.08999999999997</v>
      </c>
      <c r="H811" s="1">
        <v>173.15</v>
      </c>
      <c r="I811" s="1">
        <f>TablaVentas[[#This Row],[Precio Unitario]]*TablaVentas[[#This Row],[Cantidad]]</f>
        <v>2790.81</v>
      </c>
      <c r="J811" s="1">
        <f>TablaVentas[[#This Row],[Costo Unitario]]*TablaVentas[[#This Row],[Cantidad]]</f>
        <v>1558.3500000000001</v>
      </c>
      <c r="K811" s="1">
        <f>TablaVentas[[#This Row],[Total Venta]]-TablaVentas[[#This Row],[Total Costo]]</f>
        <v>1232.4599999999998</v>
      </c>
    </row>
    <row r="812" spans="1:11" x14ac:dyDescent="0.25">
      <c r="A812" s="2">
        <v>45517</v>
      </c>
      <c r="B812" s="1" t="s">
        <v>8</v>
      </c>
      <c r="C812" s="1" t="s">
        <v>9</v>
      </c>
      <c r="D812" s="1" t="s">
        <v>25</v>
      </c>
      <c r="E812" s="1" t="s">
        <v>28</v>
      </c>
      <c r="F812" s="1">
        <v>5</v>
      </c>
      <c r="G812" s="1">
        <v>608.01</v>
      </c>
      <c r="H812" s="1">
        <v>458.64</v>
      </c>
      <c r="I812" s="1">
        <f>TablaVentas[[#This Row],[Precio Unitario]]*TablaVentas[[#This Row],[Cantidad]]</f>
        <v>3040.05</v>
      </c>
      <c r="J812" s="1">
        <f>TablaVentas[[#This Row],[Costo Unitario]]*TablaVentas[[#This Row],[Cantidad]]</f>
        <v>2293.1999999999998</v>
      </c>
      <c r="K812" s="1">
        <f>TablaVentas[[#This Row],[Total Venta]]-TablaVentas[[#This Row],[Total Costo]]</f>
        <v>746.85000000000036</v>
      </c>
    </row>
    <row r="813" spans="1:11" x14ac:dyDescent="0.25">
      <c r="A813" s="2">
        <v>45517</v>
      </c>
      <c r="B813" s="1" t="s">
        <v>34</v>
      </c>
      <c r="C813" s="1" t="s">
        <v>13</v>
      </c>
      <c r="D813" s="1" t="s">
        <v>24</v>
      </c>
      <c r="E813" s="1" t="s">
        <v>15</v>
      </c>
      <c r="F813" s="1">
        <v>8</v>
      </c>
      <c r="G813" s="1">
        <v>263.92</v>
      </c>
      <c r="H813" s="1">
        <v>178.37</v>
      </c>
      <c r="I813" s="1">
        <f>TablaVentas[[#This Row],[Precio Unitario]]*TablaVentas[[#This Row],[Cantidad]]</f>
        <v>2111.36</v>
      </c>
      <c r="J813" s="1">
        <f>TablaVentas[[#This Row],[Costo Unitario]]*TablaVentas[[#This Row],[Cantidad]]</f>
        <v>1426.96</v>
      </c>
      <c r="K813" s="1">
        <f>TablaVentas[[#This Row],[Total Venta]]-TablaVentas[[#This Row],[Total Costo]]</f>
        <v>684.40000000000009</v>
      </c>
    </row>
    <row r="814" spans="1:11" x14ac:dyDescent="0.25">
      <c r="A814" s="2">
        <v>45517</v>
      </c>
      <c r="B814" s="1" t="s">
        <v>29</v>
      </c>
      <c r="C814" s="1" t="s">
        <v>30</v>
      </c>
      <c r="D814" s="1" t="s">
        <v>33</v>
      </c>
      <c r="E814" s="1" t="s">
        <v>11</v>
      </c>
      <c r="F814" s="1">
        <v>2</v>
      </c>
      <c r="G814" s="1">
        <v>430.8</v>
      </c>
      <c r="H814" s="1">
        <v>306.17</v>
      </c>
      <c r="I814" s="1">
        <f>TablaVentas[[#This Row],[Precio Unitario]]*TablaVentas[[#This Row],[Cantidad]]</f>
        <v>861.6</v>
      </c>
      <c r="J814" s="1">
        <f>TablaVentas[[#This Row],[Costo Unitario]]*TablaVentas[[#This Row],[Cantidad]]</f>
        <v>612.34</v>
      </c>
      <c r="K814" s="1">
        <f>TablaVentas[[#This Row],[Total Venta]]-TablaVentas[[#This Row],[Total Costo]]</f>
        <v>249.26</v>
      </c>
    </row>
    <row r="815" spans="1:11" x14ac:dyDescent="0.25">
      <c r="A815" s="2">
        <v>45519</v>
      </c>
      <c r="B815" s="1" t="s">
        <v>29</v>
      </c>
      <c r="C815" s="1" t="s">
        <v>30</v>
      </c>
      <c r="D815" s="1" t="s">
        <v>25</v>
      </c>
      <c r="E815" s="1" t="s">
        <v>11</v>
      </c>
      <c r="F815" s="1">
        <v>5</v>
      </c>
      <c r="G815" s="1">
        <v>399.8</v>
      </c>
      <c r="H815" s="1">
        <v>282.94</v>
      </c>
      <c r="I815" s="1">
        <f>TablaVentas[[#This Row],[Precio Unitario]]*TablaVentas[[#This Row],[Cantidad]]</f>
        <v>1999</v>
      </c>
      <c r="J815" s="1">
        <f>TablaVentas[[#This Row],[Costo Unitario]]*TablaVentas[[#This Row],[Cantidad]]</f>
        <v>1414.7</v>
      </c>
      <c r="K815" s="1">
        <f>TablaVentas[[#This Row],[Total Venta]]-TablaVentas[[#This Row],[Total Costo]]</f>
        <v>584.29999999999995</v>
      </c>
    </row>
    <row r="816" spans="1:11" x14ac:dyDescent="0.25">
      <c r="A816" s="2">
        <v>45521</v>
      </c>
      <c r="B816" s="1" t="s">
        <v>26</v>
      </c>
      <c r="C816" s="1" t="s">
        <v>19</v>
      </c>
      <c r="D816" s="1" t="s">
        <v>14</v>
      </c>
      <c r="E816" s="1" t="s">
        <v>15</v>
      </c>
      <c r="F816" s="1">
        <v>1</v>
      </c>
      <c r="G816" s="1">
        <v>44.31</v>
      </c>
      <c r="H816" s="1">
        <v>27.44</v>
      </c>
      <c r="I816" s="1">
        <f>TablaVentas[[#This Row],[Precio Unitario]]*TablaVentas[[#This Row],[Cantidad]]</f>
        <v>44.31</v>
      </c>
      <c r="J816" s="1">
        <f>TablaVentas[[#This Row],[Costo Unitario]]*TablaVentas[[#This Row],[Cantidad]]</f>
        <v>27.44</v>
      </c>
      <c r="K816" s="1">
        <f>TablaVentas[[#This Row],[Total Venta]]-TablaVentas[[#This Row],[Total Costo]]</f>
        <v>16.87</v>
      </c>
    </row>
    <row r="817" spans="1:11" x14ac:dyDescent="0.25">
      <c r="A817" s="2">
        <v>45521</v>
      </c>
      <c r="B817" s="1" t="s">
        <v>18</v>
      </c>
      <c r="C817" s="1" t="s">
        <v>19</v>
      </c>
      <c r="D817" s="1" t="s">
        <v>24</v>
      </c>
      <c r="E817" s="1" t="s">
        <v>11</v>
      </c>
      <c r="F817" s="1">
        <v>6</v>
      </c>
      <c r="G817" s="1">
        <v>1052.74</v>
      </c>
      <c r="H817" s="1">
        <v>786.93</v>
      </c>
      <c r="I817" s="1">
        <f>TablaVentas[[#This Row],[Precio Unitario]]*TablaVentas[[#This Row],[Cantidad]]</f>
        <v>6316.4400000000005</v>
      </c>
      <c r="J817" s="1">
        <f>TablaVentas[[#This Row],[Costo Unitario]]*TablaVentas[[#This Row],[Cantidad]]</f>
        <v>4721.58</v>
      </c>
      <c r="K817" s="1">
        <f>TablaVentas[[#This Row],[Total Venta]]-TablaVentas[[#This Row],[Total Costo]]</f>
        <v>1594.8600000000006</v>
      </c>
    </row>
    <row r="818" spans="1:11" x14ac:dyDescent="0.25">
      <c r="A818" s="2">
        <v>45522</v>
      </c>
      <c r="B818" s="1" t="s">
        <v>23</v>
      </c>
      <c r="C818" s="1" t="s">
        <v>9</v>
      </c>
      <c r="D818" s="1" t="s">
        <v>10</v>
      </c>
      <c r="E818" s="1" t="s">
        <v>15</v>
      </c>
      <c r="F818" s="1">
        <v>2</v>
      </c>
      <c r="G818" s="1">
        <v>77.63</v>
      </c>
      <c r="H818" s="1">
        <v>45.33</v>
      </c>
      <c r="I818" s="1">
        <f>TablaVentas[[#This Row],[Precio Unitario]]*TablaVentas[[#This Row],[Cantidad]]</f>
        <v>155.26</v>
      </c>
      <c r="J818" s="1">
        <f>TablaVentas[[#This Row],[Costo Unitario]]*TablaVentas[[#This Row],[Cantidad]]</f>
        <v>90.66</v>
      </c>
      <c r="K818" s="1">
        <f>TablaVentas[[#This Row],[Total Venta]]-TablaVentas[[#This Row],[Total Costo]]</f>
        <v>64.599999999999994</v>
      </c>
    </row>
    <row r="819" spans="1:11" x14ac:dyDescent="0.25">
      <c r="A819" s="2">
        <v>45522</v>
      </c>
      <c r="B819" s="1" t="s">
        <v>23</v>
      </c>
      <c r="C819" s="1" t="s">
        <v>9</v>
      </c>
      <c r="D819" s="1" t="s">
        <v>27</v>
      </c>
      <c r="E819" s="1" t="s">
        <v>20</v>
      </c>
      <c r="F819" s="1">
        <v>1</v>
      </c>
      <c r="G819" s="1">
        <v>80.41</v>
      </c>
      <c r="H819" s="1">
        <v>46.78</v>
      </c>
      <c r="I819" s="1">
        <f>TablaVentas[[#This Row],[Precio Unitario]]*TablaVentas[[#This Row],[Cantidad]]</f>
        <v>80.41</v>
      </c>
      <c r="J819" s="1">
        <f>TablaVentas[[#This Row],[Costo Unitario]]*TablaVentas[[#This Row],[Cantidad]]</f>
        <v>46.78</v>
      </c>
      <c r="K819" s="1">
        <f>TablaVentas[[#This Row],[Total Venta]]-TablaVentas[[#This Row],[Total Costo]]</f>
        <v>33.629999999999995</v>
      </c>
    </row>
    <row r="820" spans="1:11" x14ac:dyDescent="0.25">
      <c r="A820" s="2">
        <v>45523</v>
      </c>
      <c r="B820" s="1" t="s">
        <v>16</v>
      </c>
      <c r="C820" s="1" t="s">
        <v>13</v>
      </c>
      <c r="D820" s="1" t="s">
        <v>27</v>
      </c>
      <c r="E820" s="1" t="s">
        <v>20</v>
      </c>
      <c r="F820" s="1">
        <v>10</v>
      </c>
      <c r="G820" s="1">
        <v>57.23</v>
      </c>
      <c r="H820" s="1">
        <v>35.369999999999997</v>
      </c>
      <c r="I820" s="1">
        <f>TablaVentas[[#This Row],[Precio Unitario]]*TablaVentas[[#This Row],[Cantidad]]</f>
        <v>572.29999999999995</v>
      </c>
      <c r="J820" s="1">
        <f>TablaVentas[[#This Row],[Costo Unitario]]*TablaVentas[[#This Row],[Cantidad]]</f>
        <v>353.7</v>
      </c>
      <c r="K820" s="1">
        <f>TablaVentas[[#This Row],[Total Venta]]-TablaVentas[[#This Row],[Total Costo]]</f>
        <v>218.59999999999997</v>
      </c>
    </row>
    <row r="821" spans="1:11" x14ac:dyDescent="0.25">
      <c r="A821" s="2">
        <v>45524</v>
      </c>
      <c r="B821" s="1" t="s">
        <v>23</v>
      </c>
      <c r="C821" s="1" t="s">
        <v>9</v>
      </c>
      <c r="D821" s="1" t="s">
        <v>27</v>
      </c>
      <c r="E821" s="1" t="s">
        <v>20</v>
      </c>
      <c r="F821" s="1">
        <v>4</v>
      </c>
      <c r="G821" s="1">
        <v>80.37</v>
      </c>
      <c r="H821" s="1">
        <v>48.36</v>
      </c>
      <c r="I821" s="1">
        <f>TablaVentas[[#This Row],[Precio Unitario]]*TablaVentas[[#This Row],[Cantidad]]</f>
        <v>321.48</v>
      </c>
      <c r="J821" s="1">
        <f>TablaVentas[[#This Row],[Costo Unitario]]*TablaVentas[[#This Row],[Cantidad]]</f>
        <v>193.44</v>
      </c>
      <c r="K821" s="1">
        <f>TablaVentas[[#This Row],[Total Venta]]-TablaVentas[[#This Row],[Total Costo]]</f>
        <v>128.04000000000002</v>
      </c>
    </row>
    <row r="822" spans="1:11" x14ac:dyDescent="0.25">
      <c r="A822" s="2">
        <v>45525</v>
      </c>
      <c r="B822" s="1" t="s">
        <v>21</v>
      </c>
      <c r="C822" s="1" t="s">
        <v>19</v>
      </c>
      <c r="D822" s="1" t="s">
        <v>27</v>
      </c>
      <c r="E822" s="1" t="s">
        <v>11</v>
      </c>
      <c r="F822" s="1">
        <v>10</v>
      </c>
      <c r="G822" s="1">
        <v>82.53</v>
      </c>
      <c r="H822" s="1">
        <v>49.46</v>
      </c>
      <c r="I822" s="1">
        <f>TablaVentas[[#This Row],[Precio Unitario]]*TablaVentas[[#This Row],[Cantidad]]</f>
        <v>825.3</v>
      </c>
      <c r="J822" s="1">
        <f>TablaVentas[[#This Row],[Costo Unitario]]*TablaVentas[[#This Row],[Cantidad]]</f>
        <v>494.6</v>
      </c>
      <c r="K822" s="1">
        <f>TablaVentas[[#This Row],[Total Venta]]-TablaVentas[[#This Row],[Total Costo]]</f>
        <v>330.69999999999993</v>
      </c>
    </row>
    <row r="823" spans="1:11" x14ac:dyDescent="0.25">
      <c r="A823" s="2">
        <v>45525</v>
      </c>
      <c r="B823" s="1" t="s">
        <v>34</v>
      </c>
      <c r="C823" s="1" t="s">
        <v>13</v>
      </c>
      <c r="D823" s="1" t="s">
        <v>24</v>
      </c>
      <c r="E823" s="1" t="s">
        <v>11</v>
      </c>
      <c r="F823" s="1">
        <v>8</v>
      </c>
      <c r="G823" s="1">
        <v>316.44</v>
      </c>
      <c r="H823" s="1">
        <v>205.1</v>
      </c>
      <c r="I823" s="1">
        <f>TablaVentas[[#This Row],[Precio Unitario]]*TablaVentas[[#This Row],[Cantidad]]</f>
        <v>2531.52</v>
      </c>
      <c r="J823" s="1">
        <f>TablaVentas[[#This Row],[Costo Unitario]]*TablaVentas[[#This Row],[Cantidad]]</f>
        <v>1640.8</v>
      </c>
      <c r="K823" s="1">
        <f>TablaVentas[[#This Row],[Total Venta]]-TablaVentas[[#This Row],[Total Costo]]</f>
        <v>890.72</v>
      </c>
    </row>
    <row r="824" spans="1:11" x14ac:dyDescent="0.25">
      <c r="A824" s="2">
        <v>45525</v>
      </c>
      <c r="B824" s="1" t="s">
        <v>18</v>
      </c>
      <c r="C824" s="1" t="s">
        <v>19</v>
      </c>
      <c r="D824" s="1" t="s">
        <v>27</v>
      </c>
      <c r="E824" s="1" t="s">
        <v>15</v>
      </c>
      <c r="F824" s="1">
        <v>5</v>
      </c>
      <c r="G824" s="1">
        <v>1285.3399999999999</v>
      </c>
      <c r="H824" s="1">
        <v>766.79</v>
      </c>
      <c r="I824" s="1">
        <f>TablaVentas[[#This Row],[Precio Unitario]]*TablaVentas[[#This Row],[Cantidad]]</f>
        <v>6426.7</v>
      </c>
      <c r="J824" s="1">
        <f>TablaVentas[[#This Row],[Costo Unitario]]*TablaVentas[[#This Row],[Cantidad]]</f>
        <v>3833.95</v>
      </c>
      <c r="K824" s="1">
        <f>TablaVentas[[#This Row],[Total Venta]]-TablaVentas[[#This Row],[Total Costo]]</f>
        <v>2592.75</v>
      </c>
    </row>
    <row r="825" spans="1:11" x14ac:dyDescent="0.25">
      <c r="A825" s="2">
        <v>45526</v>
      </c>
      <c r="B825" s="1" t="s">
        <v>23</v>
      </c>
      <c r="C825" s="1" t="s">
        <v>9</v>
      </c>
      <c r="D825" s="1" t="s">
        <v>25</v>
      </c>
      <c r="E825" s="1" t="s">
        <v>15</v>
      </c>
      <c r="F825" s="1">
        <v>7</v>
      </c>
      <c r="G825" s="1">
        <v>66.709999999999994</v>
      </c>
      <c r="H825" s="1">
        <v>40.520000000000003</v>
      </c>
      <c r="I825" s="1">
        <f>TablaVentas[[#This Row],[Precio Unitario]]*TablaVentas[[#This Row],[Cantidad]]</f>
        <v>466.96999999999997</v>
      </c>
      <c r="J825" s="1">
        <f>TablaVentas[[#This Row],[Costo Unitario]]*TablaVentas[[#This Row],[Cantidad]]</f>
        <v>283.64000000000004</v>
      </c>
      <c r="K825" s="1">
        <f>TablaVentas[[#This Row],[Total Venta]]-TablaVentas[[#This Row],[Total Costo]]</f>
        <v>183.32999999999993</v>
      </c>
    </row>
    <row r="826" spans="1:11" x14ac:dyDescent="0.25">
      <c r="A826" s="2">
        <v>45526</v>
      </c>
      <c r="B826" s="1" t="s">
        <v>12</v>
      </c>
      <c r="C826" s="1" t="s">
        <v>13</v>
      </c>
      <c r="D826" s="1" t="s">
        <v>27</v>
      </c>
      <c r="E826" s="1" t="s">
        <v>15</v>
      </c>
      <c r="F826" s="1">
        <v>7</v>
      </c>
      <c r="G826" s="1">
        <v>58.98</v>
      </c>
      <c r="H826" s="1">
        <v>44.53</v>
      </c>
      <c r="I826" s="1">
        <f>TablaVentas[[#This Row],[Precio Unitario]]*TablaVentas[[#This Row],[Cantidad]]</f>
        <v>412.85999999999996</v>
      </c>
      <c r="J826" s="1">
        <f>TablaVentas[[#This Row],[Costo Unitario]]*TablaVentas[[#This Row],[Cantidad]]</f>
        <v>311.71000000000004</v>
      </c>
      <c r="K826" s="1">
        <f>TablaVentas[[#This Row],[Total Venta]]-TablaVentas[[#This Row],[Total Costo]]</f>
        <v>101.14999999999992</v>
      </c>
    </row>
    <row r="827" spans="1:11" x14ac:dyDescent="0.25">
      <c r="A827" s="2">
        <v>45527</v>
      </c>
      <c r="B827" s="1" t="s">
        <v>21</v>
      </c>
      <c r="C827" s="1" t="s">
        <v>19</v>
      </c>
      <c r="D827" s="1" t="s">
        <v>14</v>
      </c>
      <c r="E827" s="1" t="s">
        <v>11</v>
      </c>
      <c r="F827" s="1">
        <v>9</v>
      </c>
      <c r="G827" s="1">
        <v>87.21</v>
      </c>
      <c r="H827" s="1">
        <v>55.49</v>
      </c>
      <c r="I827" s="1">
        <f>TablaVentas[[#This Row],[Precio Unitario]]*TablaVentas[[#This Row],[Cantidad]]</f>
        <v>784.89</v>
      </c>
      <c r="J827" s="1">
        <f>TablaVentas[[#This Row],[Costo Unitario]]*TablaVentas[[#This Row],[Cantidad]]</f>
        <v>499.41</v>
      </c>
      <c r="K827" s="1">
        <f>TablaVentas[[#This Row],[Total Venta]]-TablaVentas[[#This Row],[Total Costo]]</f>
        <v>285.47999999999996</v>
      </c>
    </row>
    <row r="828" spans="1:11" x14ac:dyDescent="0.25">
      <c r="A828" s="2">
        <v>45527</v>
      </c>
      <c r="B828" s="1" t="s">
        <v>32</v>
      </c>
      <c r="C828" s="1" t="s">
        <v>30</v>
      </c>
      <c r="D828" s="1" t="s">
        <v>27</v>
      </c>
      <c r="E828" s="1" t="s">
        <v>28</v>
      </c>
      <c r="F828" s="1">
        <v>7</v>
      </c>
      <c r="G828" s="1">
        <v>357.66</v>
      </c>
      <c r="H828" s="1">
        <v>223.11</v>
      </c>
      <c r="I828" s="1">
        <f>TablaVentas[[#This Row],[Precio Unitario]]*TablaVentas[[#This Row],[Cantidad]]</f>
        <v>2503.6200000000003</v>
      </c>
      <c r="J828" s="1">
        <f>TablaVentas[[#This Row],[Costo Unitario]]*TablaVentas[[#This Row],[Cantidad]]</f>
        <v>1561.77</v>
      </c>
      <c r="K828" s="1">
        <f>TablaVentas[[#This Row],[Total Venta]]-TablaVentas[[#This Row],[Total Costo]]</f>
        <v>941.85000000000036</v>
      </c>
    </row>
    <row r="829" spans="1:11" x14ac:dyDescent="0.25">
      <c r="A829" s="2">
        <v>45527</v>
      </c>
      <c r="B829" s="1" t="s">
        <v>18</v>
      </c>
      <c r="C829" s="1" t="s">
        <v>19</v>
      </c>
      <c r="D829" s="1" t="s">
        <v>27</v>
      </c>
      <c r="E829" s="1" t="s">
        <v>22</v>
      </c>
      <c r="F829" s="1">
        <v>4</v>
      </c>
      <c r="G829" s="1">
        <v>1345.09</v>
      </c>
      <c r="H829" s="1">
        <v>792.25</v>
      </c>
      <c r="I829" s="1">
        <f>TablaVentas[[#This Row],[Precio Unitario]]*TablaVentas[[#This Row],[Cantidad]]</f>
        <v>5380.36</v>
      </c>
      <c r="J829" s="1">
        <f>TablaVentas[[#This Row],[Costo Unitario]]*TablaVentas[[#This Row],[Cantidad]]</f>
        <v>3169</v>
      </c>
      <c r="K829" s="1">
        <f>TablaVentas[[#This Row],[Total Venta]]-TablaVentas[[#This Row],[Total Costo]]</f>
        <v>2211.3599999999997</v>
      </c>
    </row>
    <row r="830" spans="1:11" x14ac:dyDescent="0.25">
      <c r="A830" s="2">
        <v>45528</v>
      </c>
      <c r="B830" s="1" t="s">
        <v>8</v>
      </c>
      <c r="C830" s="1" t="s">
        <v>9</v>
      </c>
      <c r="D830" s="1" t="s">
        <v>33</v>
      </c>
      <c r="E830" s="1" t="s">
        <v>20</v>
      </c>
      <c r="F830" s="1">
        <v>6</v>
      </c>
      <c r="G830" s="1">
        <v>680.3</v>
      </c>
      <c r="H830" s="1">
        <v>511.09</v>
      </c>
      <c r="I830" s="1">
        <f>TablaVentas[[#This Row],[Precio Unitario]]*TablaVentas[[#This Row],[Cantidad]]</f>
        <v>4081.7999999999997</v>
      </c>
      <c r="J830" s="1">
        <f>TablaVentas[[#This Row],[Costo Unitario]]*TablaVentas[[#This Row],[Cantidad]]</f>
        <v>3066.54</v>
      </c>
      <c r="K830" s="1">
        <f>TablaVentas[[#This Row],[Total Venta]]-TablaVentas[[#This Row],[Total Costo]]</f>
        <v>1015.2599999999998</v>
      </c>
    </row>
    <row r="831" spans="1:11" x14ac:dyDescent="0.25">
      <c r="A831" s="2">
        <v>45529</v>
      </c>
      <c r="B831" s="1" t="s">
        <v>12</v>
      </c>
      <c r="C831" s="1" t="s">
        <v>13</v>
      </c>
      <c r="D831" s="1" t="s">
        <v>33</v>
      </c>
      <c r="E831" s="1" t="s">
        <v>20</v>
      </c>
      <c r="F831" s="1">
        <v>10</v>
      </c>
      <c r="G831" s="1">
        <v>70.069999999999993</v>
      </c>
      <c r="H831" s="1">
        <v>41.62</v>
      </c>
      <c r="I831" s="1">
        <f>TablaVentas[[#This Row],[Precio Unitario]]*TablaVentas[[#This Row],[Cantidad]]</f>
        <v>700.69999999999993</v>
      </c>
      <c r="J831" s="1">
        <f>TablaVentas[[#This Row],[Costo Unitario]]*TablaVentas[[#This Row],[Cantidad]]</f>
        <v>416.2</v>
      </c>
      <c r="K831" s="1">
        <f>TablaVentas[[#This Row],[Total Venta]]-TablaVentas[[#This Row],[Total Costo]]</f>
        <v>284.49999999999994</v>
      </c>
    </row>
    <row r="832" spans="1:11" x14ac:dyDescent="0.25">
      <c r="A832" s="2">
        <v>45530</v>
      </c>
      <c r="B832" s="1" t="s">
        <v>18</v>
      </c>
      <c r="C832" s="1" t="s">
        <v>19</v>
      </c>
      <c r="D832" s="1" t="s">
        <v>10</v>
      </c>
      <c r="E832" s="1" t="s">
        <v>15</v>
      </c>
      <c r="F832" s="1">
        <v>5</v>
      </c>
      <c r="G832" s="1">
        <v>1091.3499999999999</v>
      </c>
      <c r="H832" s="1">
        <v>829.04</v>
      </c>
      <c r="I832" s="1">
        <f>TablaVentas[[#This Row],[Precio Unitario]]*TablaVentas[[#This Row],[Cantidad]]</f>
        <v>5456.75</v>
      </c>
      <c r="J832" s="1">
        <f>TablaVentas[[#This Row],[Costo Unitario]]*TablaVentas[[#This Row],[Cantidad]]</f>
        <v>4145.2</v>
      </c>
      <c r="K832" s="1">
        <f>TablaVentas[[#This Row],[Total Venta]]-TablaVentas[[#This Row],[Total Costo]]</f>
        <v>1311.5500000000002</v>
      </c>
    </row>
    <row r="833" spans="1:11" x14ac:dyDescent="0.25">
      <c r="A833" s="2">
        <v>45530</v>
      </c>
      <c r="B833" s="1" t="s">
        <v>26</v>
      </c>
      <c r="C833" s="1" t="s">
        <v>19</v>
      </c>
      <c r="D833" s="1" t="s">
        <v>24</v>
      </c>
      <c r="E833" s="1" t="s">
        <v>22</v>
      </c>
      <c r="F833" s="1">
        <v>3</v>
      </c>
      <c r="G833" s="1">
        <v>40.47</v>
      </c>
      <c r="H833" s="1">
        <v>24.12</v>
      </c>
      <c r="I833" s="1">
        <f>TablaVentas[[#This Row],[Precio Unitario]]*TablaVentas[[#This Row],[Cantidad]]</f>
        <v>121.41</v>
      </c>
      <c r="J833" s="1">
        <f>TablaVentas[[#This Row],[Costo Unitario]]*TablaVentas[[#This Row],[Cantidad]]</f>
        <v>72.36</v>
      </c>
      <c r="K833" s="1">
        <f>TablaVentas[[#This Row],[Total Venta]]-TablaVentas[[#This Row],[Total Costo]]</f>
        <v>49.05</v>
      </c>
    </row>
    <row r="834" spans="1:11" x14ac:dyDescent="0.25">
      <c r="A834" s="2">
        <v>45532</v>
      </c>
      <c r="B834" s="1" t="s">
        <v>32</v>
      </c>
      <c r="C834" s="1" t="s">
        <v>30</v>
      </c>
      <c r="D834" s="1" t="s">
        <v>27</v>
      </c>
      <c r="E834" s="1" t="s">
        <v>28</v>
      </c>
      <c r="F834" s="1">
        <v>9</v>
      </c>
      <c r="G834" s="1">
        <v>359.97</v>
      </c>
      <c r="H834" s="1">
        <v>213.18</v>
      </c>
      <c r="I834" s="1">
        <f>TablaVentas[[#This Row],[Precio Unitario]]*TablaVentas[[#This Row],[Cantidad]]</f>
        <v>3239.7300000000005</v>
      </c>
      <c r="J834" s="1">
        <f>TablaVentas[[#This Row],[Costo Unitario]]*TablaVentas[[#This Row],[Cantidad]]</f>
        <v>1918.6200000000001</v>
      </c>
      <c r="K834" s="1">
        <f>TablaVentas[[#This Row],[Total Venta]]-TablaVentas[[#This Row],[Total Costo]]</f>
        <v>1321.1100000000004</v>
      </c>
    </row>
    <row r="835" spans="1:11" x14ac:dyDescent="0.25">
      <c r="A835" s="2">
        <v>45533</v>
      </c>
      <c r="B835" s="1" t="s">
        <v>18</v>
      </c>
      <c r="C835" s="1" t="s">
        <v>19</v>
      </c>
      <c r="D835" s="1" t="s">
        <v>17</v>
      </c>
      <c r="E835" s="1" t="s">
        <v>22</v>
      </c>
      <c r="F835" s="1">
        <v>3</v>
      </c>
      <c r="G835" s="1">
        <v>1057.43</v>
      </c>
      <c r="H835" s="1">
        <v>871.07</v>
      </c>
      <c r="I835" s="1">
        <f>TablaVentas[[#This Row],[Precio Unitario]]*TablaVentas[[#This Row],[Cantidad]]</f>
        <v>3172.29</v>
      </c>
      <c r="J835" s="1">
        <f>TablaVentas[[#This Row],[Costo Unitario]]*TablaVentas[[#This Row],[Cantidad]]</f>
        <v>2613.21</v>
      </c>
      <c r="K835" s="1">
        <f>TablaVentas[[#This Row],[Total Venta]]-TablaVentas[[#This Row],[Total Costo]]</f>
        <v>559.07999999999993</v>
      </c>
    </row>
    <row r="836" spans="1:11" x14ac:dyDescent="0.25">
      <c r="A836" s="2">
        <v>45533</v>
      </c>
      <c r="B836" s="1" t="s">
        <v>21</v>
      </c>
      <c r="C836" s="1" t="s">
        <v>19</v>
      </c>
      <c r="D836" s="1" t="s">
        <v>14</v>
      </c>
      <c r="E836" s="1" t="s">
        <v>15</v>
      </c>
      <c r="F836" s="1">
        <v>1</v>
      </c>
      <c r="G836" s="1">
        <v>77.77</v>
      </c>
      <c r="H836" s="1">
        <v>46.82</v>
      </c>
      <c r="I836" s="1">
        <f>TablaVentas[[#This Row],[Precio Unitario]]*TablaVentas[[#This Row],[Cantidad]]</f>
        <v>77.77</v>
      </c>
      <c r="J836" s="1">
        <f>TablaVentas[[#This Row],[Costo Unitario]]*TablaVentas[[#This Row],[Cantidad]]</f>
        <v>46.82</v>
      </c>
      <c r="K836" s="1">
        <f>TablaVentas[[#This Row],[Total Venta]]-TablaVentas[[#This Row],[Total Costo]]</f>
        <v>30.949999999999996</v>
      </c>
    </row>
    <row r="837" spans="1:11" x14ac:dyDescent="0.25">
      <c r="A837" s="2">
        <v>45534</v>
      </c>
      <c r="B837" s="1" t="s">
        <v>32</v>
      </c>
      <c r="C837" s="1" t="s">
        <v>30</v>
      </c>
      <c r="D837" s="1" t="s">
        <v>33</v>
      </c>
      <c r="E837" s="1" t="s">
        <v>15</v>
      </c>
      <c r="F837" s="1">
        <v>9</v>
      </c>
      <c r="G837" s="1">
        <v>306.31</v>
      </c>
      <c r="H837" s="1">
        <v>213.31</v>
      </c>
      <c r="I837" s="1">
        <f>TablaVentas[[#This Row],[Precio Unitario]]*TablaVentas[[#This Row],[Cantidad]]</f>
        <v>2756.79</v>
      </c>
      <c r="J837" s="1">
        <f>TablaVentas[[#This Row],[Costo Unitario]]*TablaVentas[[#This Row],[Cantidad]]</f>
        <v>1919.79</v>
      </c>
      <c r="K837" s="1">
        <f>TablaVentas[[#This Row],[Total Venta]]-TablaVentas[[#This Row],[Total Costo]]</f>
        <v>837</v>
      </c>
    </row>
    <row r="838" spans="1:11" x14ac:dyDescent="0.25">
      <c r="A838" s="2">
        <v>45534</v>
      </c>
      <c r="B838" s="1" t="s">
        <v>23</v>
      </c>
      <c r="C838" s="1" t="s">
        <v>9</v>
      </c>
      <c r="D838" s="1" t="s">
        <v>24</v>
      </c>
      <c r="E838" s="1" t="s">
        <v>20</v>
      </c>
      <c r="F838" s="1">
        <v>7</v>
      </c>
      <c r="G838" s="1">
        <v>76.36</v>
      </c>
      <c r="H838" s="1">
        <v>49.13</v>
      </c>
      <c r="I838" s="1">
        <f>TablaVentas[[#This Row],[Precio Unitario]]*TablaVentas[[#This Row],[Cantidad]]</f>
        <v>534.52</v>
      </c>
      <c r="J838" s="1">
        <f>TablaVentas[[#This Row],[Costo Unitario]]*TablaVentas[[#This Row],[Cantidad]]</f>
        <v>343.91</v>
      </c>
      <c r="K838" s="1">
        <f>TablaVentas[[#This Row],[Total Venta]]-TablaVentas[[#This Row],[Total Costo]]</f>
        <v>190.60999999999996</v>
      </c>
    </row>
    <row r="839" spans="1:11" x14ac:dyDescent="0.25">
      <c r="A839" s="2">
        <v>45535</v>
      </c>
      <c r="B839" s="1" t="s">
        <v>8</v>
      </c>
      <c r="C839" s="1" t="s">
        <v>9</v>
      </c>
      <c r="D839" s="1" t="s">
        <v>14</v>
      </c>
      <c r="E839" s="1" t="s">
        <v>20</v>
      </c>
      <c r="F839" s="1">
        <v>7</v>
      </c>
      <c r="G839" s="1">
        <v>602.79999999999995</v>
      </c>
      <c r="H839" s="1">
        <v>485.28</v>
      </c>
      <c r="I839" s="1">
        <f>TablaVentas[[#This Row],[Precio Unitario]]*TablaVentas[[#This Row],[Cantidad]]</f>
        <v>4219.5999999999995</v>
      </c>
      <c r="J839" s="1">
        <f>TablaVentas[[#This Row],[Costo Unitario]]*TablaVentas[[#This Row],[Cantidad]]</f>
        <v>3396.96</v>
      </c>
      <c r="K839" s="1">
        <f>TablaVentas[[#This Row],[Total Venta]]-TablaVentas[[#This Row],[Total Costo]]</f>
        <v>822.63999999999942</v>
      </c>
    </row>
    <row r="840" spans="1:11" x14ac:dyDescent="0.25">
      <c r="A840" s="2">
        <v>45537</v>
      </c>
      <c r="B840" s="1" t="s">
        <v>32</v>
      </c>
      <c r="C840" s="1" t="s">
        <v>30</v>
      </c>
      <c r="D840" s="1" t="s">
        <v>10</v>
      </c>
      <c r="E840" s="1" t="s">
        <v>22</v>
      </c>
      <c r="F840" s="1">
        <v>10</v>
      </c>
      <c r="G840" s="1">
        <v>334.11</v>
      </c>
      <c r="H840" s="1">
        <v>196.29</v>
      </c>
      <c r="I840" s="1">
        <f>TablaVentas[[#This Row],[Precio Unitario]]*TablaVentas[[#This Row],[Cantidad]]</f>
        <v>3341.1000000000004</v>
      </c>
      <c r="J840" s="1">
        <f>TablaVentas[[#This Row],[Costo Unitario]]*TablaVentas[[#This Row],[Cantidad]]</f>
        <v>1962.8999999999999</v>
      </c>
      <c r="K840" s="1">
        <f>TablaVentas[[#This Row],[Total Venta]]-TablaVentas[[#This Row],[Total Costo]]</f>
        <v>1378.2000000000005</v>
      </c>
    </row>
    <row r="841" spans="1:11" x14ac:dyDescent="0.25">
      <c r="A841" s="2">
        <v>45538</v>
      </c>
      <c r="B841" s="1" t="s">
        <v>29</v>
      </c>
      <c r="C841" s="1" t="s">
        <v>30</v>
      </c>
      <c r="D841" s="1" t="s">
        <v>14</v>
      </c>
      <c r="E841" s="1" t="s">
        <v>28</v>
      </c>
      <c r="F841" s="1">
        <v>3</v>
      </c>
      <c r="G841" s="1">
        <v>462.1</v>
      </c>
      <c r="H841" s="1">
        <v>295.48</v>
      </c>
      <c r="I841" s="1">
        <f>TablaVentas[[#This Row],[Precio Unitario]]*TablaVentas[[#This Row],[Cantidad]]</f>
        <v>1386.3000000000002</v>
      </c>
      <c r="J841" s="1">
        <f>TablaVentas[[#This Row],[Costo Unitario]]*TablaVentas[[#This Row],[Cantidad]]</f>
        <v>886.44</v>
      </c>
      <c r="K841" s="1">
        <f>TablaVentas[[#This Row],[Total Venta]]-TablaVentas[[#This Row],[Total Costo]]</f>
        <v>499.86000000000013</v>
      </c>
    </row>
    <row r="842" spans="1:11" x14ac:dyDescent="0.25">
      <c r="A842" s="2">
        <v>45540</v>
      </c>
      <c r="B842" s="1" t="s">
        <v>16</v>
      </c>
      <c r="C842" s="1" t="s">
        <v>13</v>
      </c>
      <c r="D842" s="1" t="s">
        <v>27</v>
      </c>
      <c r="E842" s="1" t="s">
        <v>15</v>
      </c>
      <c r="F842" s="1">
        <v>8</v>
      </c>
      <c r="G842" s="1">
        <v>60.13</v>
      </c>
      <c r="H842" s="1">
        <v>33.74</v>
      </c>
      <c r="I842" s="1">
        <f>TablaVentas[[#This Row],[Precio Unitario]]*TablaVentas[[#This Row],[Cantidad]]</f>
        <v>481.04</v>
      </c>
      <c r="J842" s="1">
        <f>TablaVentas[[#This Row],[Costo Unitario]]*TablaVentas[[#This Row],[Cantidad]]</f>
        <v>269.92</v>
      </c>
      <c r="K842" s="1">
        <f>TablaVentas[[#This Row],[Total Venta]]-TablaVentas[[#This Row],[Total Costo]]</f>
        <v>211.12</v>
      </c>
    </row>
    <row r="843" spans="1:11" x14ac:dyDescent="0.25">
      <c r="A843" s="2">
        <v>45540</v>
      </c>
      <c r="B843" s="1" t="s">
        <v>34</v>
      </c>
      <c r="C843" s="1" t="s">
        <v>13</v>
      </c>
      <c r="D843" s="1" t="s">
        <v>24</v>
      </c>
      <c r="E843" s="1" t="s">
        <v>11</v>
      </c>
      <c r="F843" s="1">
        <v>2</v>
      </c>
      <c r="G843" s="1">
        <v>277.44</v>
      </c>
      <c r="H843" s="1">
        <v>175.73</v>
      </c>
      <c r="I843" s="1">
        <f>TablaVentas[[#This Row],[Precio Unitario]]*TablaVentas[[#This Row],[Cantidad]]</f>
        <v>554.88</v>
      </c>
      <c r="J843" s="1">
        <f>TablaVentas[[#This Row],[Costo Unitario]]*TablaVentas[[#This Row],[Cantidad]]</f>
        <v>351.46</v>
      </c>
      <c r="K843" s="1">
        <f>TablaVentas[[#This Row],[Total Venta]]-TablaVentas[[#This Row],[Total Costo]]</f>
        <v>203.42000000000002</v>
      </c>
    </row>
    <row r="844" spans="1:11" x14ac:dyDescent="0.25">
      <c r="A844" s="2">
        <v>45540</v>
      </c>
      <c r="B844" s="1" t="s">
        <v>34</v>
      </c>
      <c r="C844" s="1" t="s">
        <v>13</v>
      </c>
      <c r="D844" s="1" t="s">
        <v>24</v>
      </c>
      <c r="E844" s="1" t="s">
        <v>22</v>
      </c>
      <c r="F844" s="1">
        <v>4</v>
      </c>
      <c r="G844" s="1">
        <v>273.86</v>
      </c>
      <c r="H844" s="1">
        <v>204.12</v>
      </c>
      <c r="I844" s="1">
        <f>TablaVentas[[#This Row],[Precio Unitario]]*TablaVentas[[#This Row],[Cantidad]]</f>
        <v>1095.44</v>
      </c>
      <c r="J844" s="1">
        <f>TablaVentas[[#This Row],[Costo Unitario]]*TablaVentas[[#This Row],[Cantidad]]</f>
        <v>816.48</v>
      </c>
      <c r="K844" s="1">
        <f>TablaVentas[[#This Row],[Total Venta]]-TablaVentas[[#This Row],[Total Costo]]</f>
        <v>278.96000000000004</v>
      </c>
    </row>
    <row r="845" spans="1:11" x14ac:dyDescent="0.25">
      <c r="A845" s="2">
        <v>45541</v>
      </c>
      <c r="B845" s="1" t="s">
        <v>29</v>
      </c>
      <c r="C845" s="1" t="s">
        <v>30</v>
      </c>
      <c r="D845" s="1" t="s">
        <v>25</v>
      </c>
      <c r="E845" s="1" t="s">
        <v>28</v>
      </c>
      <c r="F845" s="1">
        <v>7</v>
      </c>
      <c r="G845" s="1">
        <v>517.16999999999996</v>
      </c>
      <c r="H845" s="1">
        <v>281.35000000000002</v>
      </c>
      <c r="I845" s="1">
        <f>TablaVentas[[#This Row],[Precio Unitario]]*TablaVentas[[#This Row],[Cantidad]]</f>
        <v>3620.1899999999996</v>
      </c>
      <c r="J845" s="1">
        <f>TablaVentas[[#This Row],[Costo Unitario]]*TablaVentas[[#This Row],[Cantidad]]</f>
        <v>1969.4500000000003</v>
      </c>
      <c r="K845" s="1">
        <f>TablaVentas[[#This Row],[Total Venta]]-TablaVentas[[#This Row],[Total Costo]]</f>
        <v>1650.7399999999993</v>
      </c>
    </row>
    <row r="846" spans="1:11" x14ac:dyDescent="0.25">
      <c r="A846" s="2">
        <v>45543</v>
      </c>
      <c r="B846" s="1" t="s">
        <v>16</v>
      </c>
      <c r="C846" s="1" t="s">
        <v>13</v>
      </c>
      <c r="D846" s="1" t="s">
        <v>10</v>
      </c>
      <c r="E846" s="1" t="s">
        <v>11</v>
      </c>
      <c r="F846" s="1">
        <v>6</v>
      </c>
      <c r="G846" s="1">
        <v>57.84</v>
      </c>
      <c r="H846" s="1">
        <v>35.090000000000003</v>
      </c>
      <c r="I846" s="1">
        <f>TablaVentas[[#This Row],[Precio Unitario]]*TablaVentas[[#This Row],[Cantidad]]</f>
        <v>347.04</v>
      </c>
      <c r="J846" s="1">
        <f>TablaVentas[[#This Row],[Costo Unitario]]*TablaVentas[[#This Row],[Cantidad]]</f>
        <v>210.54000000000002</v>
      </c>
      <c r="K846" s="1">
        <f>TablaVentas[[#This Row],[Total Venta]]-TablaVentas[[#This Row],[Total Costo]]</f>
        <v>136.5</v>
      </c>
    </row>
    <row r="847" spans="1:11" x14ac:dyDescent="0.25">
      <c r="A847" s="2">
        <v>45544</v>
      </c>
      <c r="B847" s="1" t="s">
        <v>16</v>
      </c>
      <c r="C847" s="1" t="s">
        <v>13</v>
      </c>
      <c r="D847" s="1" t="s">
        <v>14</v>
      </c>
      <c r="E847" s="1" t="s">
        <v>22</v>
      </c>
      <c r="F847" s="1">
        <v>9</v>
      </c>
      <c r="G847" s="1">
        <v>50.13</v>
      </c>
      <c r="H847" s="1">
        <v>37.86</v>
      </c>
      <c r="I847" s="1">
        <f>TablaVentas[[#This Row],[Precio Unitario]]*TablaVentas[[#This Row],[Cantidad]]</f>
        <v>451.17</v>
      </c>
      <c r="J847" s="1">
        <f>TablaVentas[[#This Row],[Costo Unitario]]*TablaVentas[[#This Row],[Cantidad]]</f>
        <v>340.74</v>
      </c>
      <c r="K847" s="1">
        <f>TablaVentas[[#This Row],[Total Venta]]-TablaVentas[[#This Row],[Total Costo]]</f>
        <v>110.43</v>
      </c>
    </row>
    <row r="848" spans="1:11" x14ac:dyDescent="0.25">
      <c r="A848" s="2">
        <v>45545</v>
      </c>
      <c r="B848" s="1" t="s">
        <v>8</v>
      </c>
      <c r="C848" s="1" t="s">
        <v>9</v>
      </c>
      <c r="D848" s="1" t="s">
        <v>27</v>
      </c>
      <c r="E848" s="1" t="s">
        <v>15</v>
      </c>
      <c r="F848" s="1">
        <v>10</v>
      </c>
      <c r="G848" s="1">
        <v>767.02</v>
      </c>
      <c r="H848" s="1">
        <v>449.67</v>
      </c>
      <c r="I848" s="1">
        <f>TablaVentas[[#This Row],[Precio Unitario]]*TablaVentas[[#This Row],[Cantidad]]</f>
        <v>7670.2</v>
      </c>
      <c r="J848" s="1">
        <f>TablaVentas[[#This Row],[Costo Unitario]]*TablaVentas[[#This Row],[Cantidad]]</f>
        <v>4496.7</v>
      </c>
      <c r="K848" s="1">
        <f>TablaVentas[[#This Row],[Total Venta]]-TablaVentas[[#This Row],[Total Costo]]</f>
        <v>3173.5</v>
      </c>
    </row>
    <row r="849" spans="1:11" x14ac:dyDescent="0.25">
      <c r="A849" s="2">
        <v>45546</v>
      </c>
      <c r="B849" s="1" t="s">
        <v>34</v>
      </c>
      <c r="C849" s="1" t="s">
        <v>13</v>
      </c>
      <c r="D849" s="1" t="s">
        <v>25</v>
      </c>
      <c r="E849" s="1" t="s">
        <v>20</v>
      </c>
      <c r="F849" s="1">
        <v>4</v>
      </c>
      <c r="G849" s="1">
        <v>281.82</v>
      </c>
      <c r="H849" s="1">
        <v>189.04</v>
      </c>
      <c r="I849" s="1">
        <f>TablaVentas[[#This Row],[Precio Unitario]]*TablaVentas[[#This Row],[Cantidad]]</f>
        <v>1127.28</v>
      </c>
      <c r="J849" s="1">
        <f>TablaVentas[[#This Row],[Costo Unitario]]*TablaVentas[[#This Row],[Cantidad]]</f>
        <v>756.16</v>
      </c>
      <c r="K849" s="1">
        <f>TablaVentas[[#This Row],[Total Venta]]-TablaVentas[[#This Row],[Total Costo]]</f>
        <v>371.12</v>
      </c>
    </row>
    <row r="850" spans="1:11" x14ac:dyDescent="0.25">
      <c r="A850" s="2">
        <v>45546</v>
      </c>
      <c r="B850" s="1" t="s">
        <v>21</v>
      </c>
      <c r="C850" s="1" t="s">
        <v>19</v>
      </c>
      <c r="D850" s="1" t="s">
        <v>27</v>
      </c>
      <c r="E850" s="1" t="s">
        <v>20</v>
      </c>
      <c r="F850" s="1">
        <v>7</v>
      </c>
      <c r="G850" s="1">
        <v>83.16</v>
      </c>
      <c r="H850" s="1">
        <v>56.84</v>
      </c>
      <c r="I850" s="1">
        <f>TablaVentas[[#This Row],[Precio Unitario]]*TablaVentas[[#This Row],[Cantidad]]</f>
        <v>582.12</v>
      </c>
      <c r="J850" s="1">
        <f>TablaVentas[[#This Row],[Costo Unitario]]*TablaVentas[[#This Row],[Cantidad]]</f>
        <v>397.88</v>
      </c>
      <c r="K850" s="1">
        <f>TablaVentas[[#This Row],[Total Venta]]-TablaVentas[[#This Row],[Total Costo]]</f>
        <v>184.24</v>
      </c>
    </row>
    <row r="851" spans="1:11" x14ac:dyDescent="0.25">
      <c r="A851" s="2">
        <v>45546</v>
      </c>
      <c r="B851" s="1" t="s">
        <v>16</v>
      </c>
      <c r="C851" s="1" t="s">
        <v>13</v>
      </c>
      <c r="D851" s="1" t="s">
        <v>25</v>
      </c>
      <c r="E851" s="1" t="s">
        <v>22</v>
      </c>
      <c r="F851" s="1">
        <v>3</v>
      </c>
      <c r="G851" s="1">
        <v>55.91</v>
      </c>
      <c r="H851" s="1">
        <v>32.14</v>
      </c>
      <c r="I851" s="1">
        <f>TablaVentas[[#This Row],[Precio Unitario]]*TablaVentas[[#This Row],[Cantidad]]</f>
        <v>167.73</v>
      </c>
      <c r="J851" s="1">
        <f>TablaVentas[[#This Row],[Costo Unitario]]*TablaVentas[[#This Row],[Cantidad]]</f>
        <v>96.42</v>
      </c>
      <c r="K851" s="1">
        <f>TablaVentas[[#This Row],[Total Venta]]-TablaVentas[[#This Row],[Total Costo]]</f>
        <v>71.309999999999988</v>
      </c>
    </row>
    <row r="852" spans="1:11" x14ac:dyDescent="0.25">
      <c r="A852" s="2">
        <v>45546</v>
      </c>
      <c r="B852" s="1" t="s">
        <v>29</v>
      </c>
      <c r="C852" s="1" t="s">
        <v>30</v>
      </c>
      <c r="D852" s="1" t="s">
        <v>10</v>
      </c>
      <c r="E852" s="1" t="s">
        <v>22</v>
      </c>
      <c r="F852" s="1">
        <v>8</v>
      </c>
      <c r="G852" s="1">
        <v>433.86</v>
      </c>
      <c r="H852" s="1">
        <v>306.13</v>
      </c>
      <c r="I852" s="1">
        <f>TablaVentas[[#This Row],[Precio Unitario]]*TablaVentas[[#This Row],[Cantidad]]</f>
        <v>3470.88</v>
      </c>
      <c r="J852" s="1">
        <f>TablaVentas[[#This Row],[Costo Unitario]]*TablaVentas[[#This Row],[Cantidad]]</f>
        <v>2449.04</v>
      </c>
      <c r="K852" s="1">
        <f>TablaVentas[[#This Row],[Total Venta]]-TablaVentas[[#This Row],[Total Costo]]</f>
        <v>1021.8400000000001</v>
      </c>
    </row>
    <row r="853" spans="1:11" x14ac:dyDescent="0.25">
      <c r="A853" s="2">
        <v>45547</v>
      </c>
      <c r="B853" s="1" t="s">
        <v>18</v>
      </c>
      <c r="C853" s="1" t="s">
        <v>19</v>
      </c>
      <c r="D853" s="1" t="s">
        <v>27</v>
      </c>
      <c r="E853" s="1" t="s">
        <v>22</v>
      </c>
      <c r="F853" s="1">
        <v>9</v>
      </c>
      <c r="G853" s="1">
        <v>1316.44</v>
      </c>
      <c r="H853" s="1">
        <v>934.43</v>
      </c>
      <c r="I853" s="1">
        <f>TablaVentas[[#This Row],[Precio Unitario]]*TablaVentas[[#This Row],[Cantidad]]</f>
        <v>11847.960000000001</v>
      </c>
      <c r="J853" s="1">
        <f>TablaVentas[[#This Row],[Costo Unitario]]*TablaVentas[[#This Row],[Cantidad]]</f>
        <v>8409.869999999999</v>
      </c>
      <c r="K853" s="1">
        <f>TablaVentas[[#This Row],[Total Venta]]-TablaVentas[[#This Row],[Total Costo]]</f>
        <v>3438.090000000002</v>
      </c>
    </row>
    <row r="854" spans="1:11" x14ac:dyDescent="0.25">
      <c r="A854" s="2">
        <v>45547</v>
      </c>
      <c r="B854" s="1" t="s">
        <v>16</v>
      </c>
      <c r="C854" s="1" t="s">
        <v>13</v>
      </c>
      <c r="D854" s="1" t="s">
        <v>27</v>
      </c>
      <c r="E854" s="1" t="s">
        <v>22</v>
      </c>
      <c r="F854" s="1">
        <v>2</v>
      </c>
      <c r="G854" s="1">
        <v>59.82</v>
      </c>
      <c r="H854" s="1">
        <v>36.61</v>
      </c>
      <c r="I854" s="1">
        <f>TablaVentas[[#This Row],[Precio Unitario]]*TablaVentas[[#This Row],[Cantidad]]</f>
        <v>119.64</v>
      </c>
      <c r="J854" s="1">
        <f>TablaVentas[[#This Row],[Costo Unitario]]*TablaVentas[[#This Row],[Cantidad]]</f>
        <v>73.22</v>
      </c>
      <c r="K854" s="1">
        <f>TablaVentas[[#This Row],[Total Venta]]-TablaVentas[[#This Row],[Total Costo]]</f>
        <v>46.42</v>
      </c>
    </row>
    <row r="855" spans="1:11" x14ac:dyDescent="0.25">
      <c r="A855" s="2">
        <v>45547</v>
      </c>
      <c r="B855" s="1" t="s">
        <v>8</v>
      </c>
      <c r="C855" s="1" t="s">
        <v>9</v>
      </c>
      <c r="D855" s="1" t="s">
        <v>31</v>
      </c>
      <c r="E855" s="1" t="s">
        <v>28</v>
      </c>
      <c r="F855" s="1">
        <v>5</v>
      </c>
      <c r="G855" s="1">
        <v>678.7</v>
      </c>
      <c r="H855" s="1">
        <v>468.36</v>
      </c>
      <c r="I855" s="1">
        <f>TablaVentas[[#This Row],[Precio Unitario]]*TablaVentas[[#This Row],[Cantidad]]</f>
        <v>3393.5</v>
      </c>
      <c r="J855" s="1">
        <f>TablaVentas[[#This Row],[Costo Unitario]]*TablaVentas[[#This Row],[Cantidad]]</f>
        <v>2341.8000000000002</v>
      </c>
      <c r="K855" s="1">
        <f>TablaVentas[[#This Row],[Total Venta]]-TablaVentas[[#This Row],[Total Costo]]</f>
        <v>1051.6999999999998</v>
      </c>
    </row>
    <row r="856" spans="1:11" x14ac:dyDescent="0.25">
      <c r="A856" s="2">
        <v>45547</v>
      </c>
      <c r="B856" s="1" t="s">
        <v>8</v>
      </c>
      <c r="C856" s="1" t="s">
        <v>9</v>
      </c>
      <c r="D856" s="1" t="s">
        <v>10</v>
      </c>
      <c r="E856" s="1" t="s">
        <v>15</v>
      </c>
      <c r="F856" s="1">
        <v>5</v>
      </c>
      <c r="G856" s="1">
        <v>616.58000000000004</v>
      </c>
      <c r="H856" s="1">
        <v>438.84</v>
      </c>
      <c r="I856" s="1">
        <f>TablaVentas[[#This Row],[Precio Unitario]]*TablaVentas[[#This Row],[Cantidad]]</f>
        <v>3082.9</v>
      </c>
      <c r="J856" s="1">
        <f>TablaVentas[[#This Row],[Costo Unitario]]*TablaVentas[[#This Row],[Cantidad]]</f>
        <v>2194.1999999999998</v>
      </c>
      <c r="K856" s="1">
        <f>TablaVentas[[#This Row],[Total Venta]]-TablaVentas[[#This Row],[Total Costo]]</f>
        <v>888.70000000000027</v>
      </c>
    </row>
    <row r="857" spans="1:11" x14ac:dyDescent="0.25">
      <c r="A857" s="2">
        <v>45548</v>
      </c>
      <c r="B857" s="1" t="s">
        <v>18</v>
      </c>
      <c r="C857" s="1" t="s">
        <v>19</v>
      </c>
      <c r="D857" s="1" t="s">
        <v>27</v>
      </c>
      <c r="E857" s="1" t="s">
        <v>28</v>
      </c>
      <c r="F857" s="1">
        <v>1</v>
      </c>
      <c r="G857" s="1">
        <v>1218.96</v>
      </c>
      <c r="H857" s="1">
        <v>797.84</v>
      </c>
      <c r="I857" s="1">
        <f>TablaVentas[[#This Row],[Precio Unitario]]*TablaVentas[[#This Row],[Cantidad]]</f>
        <v>1218.96</v>
      </c>
      <c r="J857" s="1">
        <f>TablaVentas[[#This Row],[Costo Unitario]]*TablaVentas[[#This Row],[Cantidad]]</f>
        <v>797.84</v>
      </c>
      <c r="K857" s="1">
        <f>TablaVentas[[#This Row],[Total Venta]]-TablaVentas[[#This Row],[Total Costo]]</f>
        <v>421.12</v>
      </c>
    </row>
    <row r="858" spans="1:11" x14ac:dyDescent="0.25">
      <c r="A858" s="2">
        <v>45548</v>
      </c>
      <c r="B858" s="1" t="s">
        <v>8</v>
      </c>
      <c r="C858" s="1" t="s">
        <v>9</v>
      </c>
      <c r="D858" s="1" t="s">
        <v>31</v>
      </c>
      <c r="E858" s="1" t="s">
        <v>22</v>
      </c>
      <c r="F858" s="1">
        <v>5</v>
      </c>
      <c r="G858" s="1">
        <v>611.21</v>
      </c>
      <c r="H858" s="1">
        <v>521.51</v>
      </c>
      <c r="I858" s="1">
        <f>TablaVentas[[#This Row],[Precio Unitario]]*TablaVentas[[#This Row],[Cantidad]]</f>
        <v>3056.05</v>
      </c>
      <c r="J858" s="1">
        <f>TablaVentas[[#This Row],[Costo Unitario]]*TablaVentas[[#This Row],[Cantidad]]</f>
        <v>2607.5500000000002</v>
      </c>
      <c r="K858" s="1">
        <f>TablaVentas[[#This Row],[Total Venta]]-TablaVentas[[#This Row],[Total Costo]]</f>
        <v>448.5</v>
      </c>
    </row>
    <row r="859" spans="1:11" x14ac:dyDescent="0.25">
      <c r="A859" s="2">
        <v>45549</v>
      </c>
      <c r="B859" s="1" t="s">
        <v>32</v>
      </c>
      <c r="C859" s="1" t="s">
        <v>30</v>
      </c>
      <c r="D859" s="1" t="s">
        <v>17</v>
      </c>
      <c r="E859" s="1" t="s">
        <v>15</v>
      </c>
      <c r="F859" s="1">
        <v>4</v>
      </c>
      <c r="G859" s="1">
        <v>278.98</v>
      </c>
      <c r="H859" s="1">
        <v>209.72</v>
      </c>
      <c r="I859" s="1">
        <f>TablaVentas[[#This Row],[Precio Unitario]]*TablaVentas[[#This Row],[Cantidad]]</f>
        <v>1115.92</v>
      </c>
      <c r="J859" s="1">
        <f>TablaVentas[[#This Row],[Costo Unitario]]*TablaVentas[[#This Row],[Cantidad]]</f>
        <v>838.88</v>
      </c>
      <c r="K859" s="1">
        <f>TablaVentas[[#This Row],[Total Venta]]-TablaVentas[[#This Row],[Total Costo]]</f>
        <v>277.04000000000008</v>
      </c>
    </row>
    <row r="860" spans="1:11" x14ac:dyDescent="0.25">
      <c r="A860" s="2">
        <v>45549</v>
      </c>
      <c r="B860" s="1" t="s">
        <v>16</v>
      </c>
      <c r="C860" s="1" t="s">
        <v>13</v>
      </c>
      <c r="D860" s="1" t="s">
        <v>25</v>
      </c>
      <c r="E860" s="1" t="s">
        <v>22</v>
      </c>
      <c r="F860" s="1">
        <v>4</v>
      </c>
      <c r="G860" s="1">
        <v>54.21</v>
      </c>
      <c r="H860" s="1">
        <v>37.39</v>
      </c>
      <c r="I860" s="1">
        <f>TablaVentas[[#This Row],[Precio Unitario]]*TablaVentas[[#This Row],[Cantidad]]</f>
        <v>216.84</v>
      </c>
      <c r="J860" s="1">
        <f>TablaVentas[[#This Row],[Costo Unitario]]*TablaVentas[[#This Row],[Cantidad]]</f>
        <v>149.56</v>
      </c>
      <c r="K860" s="1">
        <f>TablaVentas[[#This Row],[Total Venta]]-TablaVentas[[#This Row],[Total Costo]]</f>
        <v>67.28</v>
      </c>
    </row>
    <row r="861" spans="1:11" x14ac:dyDescent="0.25">
      <c r="A861" s="2">
        <v>45549</v>
      </c>
      <c r="B861" s="1" t="s">
        <v>21</v>
      </c>
      <c r="C861" s="1" t="s">
        <v>19</v>
      </c>
      <c r="D861" s="1" t="s">
        <v>31</v>
      </c>
      <c r="E861" s="1" t="s">
        <v>28</v>
      </c>
      <c r="F861" s="1">
        <v>8</v>
      </c>
      <c r="G861" s="1">
        <v>88.94</v>
      </c>
      <c r="H861" s="1">
        <v>53.28</v>
      </c>
      <c r="I861" s="1">
        <f>TablaVentas[[#This Row],[Precio Unitario]]*TablaVentas[[#This Row],[Cantidad]]</f>
        <v>711.52</v>
      </c>
      <c r="J861" s="1">
        <f>TablaVentas[[#This Row],[Costo Unitario]]*TablaVentas[[#This Row],[Cantidad]]</f>
        <v>426.24</v>
      </c>
      <c r="K861" s="1">
        <f>TablaVentas[[#This Row],[Total Venta]]-TablaVentas[[#This Row],[Total Costo]]</f>
        <v>285.27999999999997</v>
      </c>
    </row>
    <row r="862" spans="1:11" x14ac:dyDescent="0.25">
      <c r="A862" s="2">
        <v>45551</v>
      </c>
      <c r="B862" s="1" t="s">
        <v>12</v>
      </c>
      <c r="C862" s="1" t="s">
        <v>13</v>
      </c>
      <c r="D862" s="1" t="s">
        <v>24</v>
      </c>
      <c r="E862" s="1" t="s">
        <v>20</v>
      </c>
      <c r="F862" s="1">
        <v>6</v>
      </c>
      <c r="G862" s="1">
        <v>59.95</v>
      </c>
      <c r="H862" s="1">
        <v>43.13</v>
      </c>
      <c r="I862" s="1">
        <f>TablaVentas[[#This Row],[Precio Unitario]]*TablaVentas[[#This Row],[Cantidad]]</f>
        <v>359.70000000000005</v>
      </c>
      <c r="J862" s="1">
        <f>TablaVentas[[#This Row],[Costo Unitario]]*TablaVentas[[#This Row],[Cantidad]]</f>
        <v>258.78000000000003</v>
      </c>
      <c r="K862" s="1">
        <f>TablaVentas[[#This Row],[Total Venta]]-TablaVentas[[#This Row],[Total Costo]]</f>
        <v>100.92000000000002</v>
      </c>
    </row>
    <row r="863" spans="1:11" x14ac:dyDescent="0.25">
      <c r="A863" s="2">
        <v>45552</v>
      </c>
      <c r="B863" s="1" t="s">
        <v>23</v>
      </c>
      <c r="C863" s="1" t="s">
        <v>9</v>
      </c>
      <c r="D863" s="1" t="s">
        <v>25</v>
      </c>
      <c r="E863" s="1" t="s">
        <v>20</v>
      </c>
      <c r="F863" s="1">
        <v>3</v>
      </c>
      <c r="G863" s="1">
        <v>64.11</v>
      </c>
      <c r="H863" s="1">
        <v>42.8</v>
      </c>
      <c r="I863" s="1">
        <f>TablaVentas[[#This Row],[Precio Unitario]]*TablaVentas[[#This Row],[Cantidad]]</f>
        <v>192.32999999999998</v>
      </c>
      <c r="J863" s="1">
        <f>TablaVentas[[#This Row],[Costo Unitario]]*TablaVentas[[#This Row],[Cantidad]]</f>
        <v>128.39999999999998</v>
      </c>
      <c r="K863" s="1">
        <f>TablaVentas[[#This Row],[Total Venta]]-TablaVentas[[#This Row],[Total Costo]]</f>
        <v>63.930000000000007</v>
      </c>
    </row>
    <row r="864" spans="1:11" x14ac:dyDescent="0.25">
      <c r="A864" s="2">
        <v>45555</v>
      </c>
      <c r="B864" s="1" t="s">
        <v>23</v>
      </c>
      <c r="C864" s="1" t="s">
        <v>9</v>
      </c>
      <c r="D864" s="1" t="s">
        <v>24</v>
      </c>
      <c r="E864" s="1" t="s">
        <v>20</v>
      </c>
      <c r="F864" s="1">
        <v>4</v>
      </c>
      <c r="G864" s="1">
        <v>67.23</v>
      </c>
      <c r="H864" s="1">
        <v>44.09</v>
      </c>
      <c r="I864" s="1">
        <f>TablaVentas[[#This Row],[Precio Unitario]]*TablaVentas[[#This Row],[Cantidad]]</f>
        <v>268.92</v>
      </c>
      <c r="J864" s="1">
        <f>TablaVentas[[#This Row],[Costo Unitario]]*TablaVentas[[#This Row],[Cantidad]]</f>
        <v>176.36</v>
      </c>
      <c r="K864" s="1">
        <f>TablaVentas[[#This Row],[Total Venta]]-TablaVentas[[#This Row],[Total Costo]]</f>
        <v>92.56</v>
      </c>
    </row>
    <row r="865" spans="1:11" x14ac:dyDescent="0.25">
      <c r="A865" s="2">
        <v>45555</v>
      </c>
      <c r="B865" s="1" t="s">
        <v>32</v>
      </c>
      <c r="C865" s="1" t="s">
        <v>30</v>
      </c>
      <c r="D865" s="1" t="s">
        <v>17</v>
      </c>
      <c r="E865" s="1" t="s">
        <v>15</v>
      </c>
      <c r="F865" s="1">
        <v>6</v>
      </c>
      <c r="G865" s="1">
        <v>298.16000000000003</v>
      </c>
      <c r="H865" s="1">
        <v>221.85</v>
      </c>
      <c r="I865" s="1">
        <f>TablaVentas[[#This Row],[Precio Unitario]]*TablaVentas[[#This Row],[Cantidad]]</f>
        <v>1788.96</v>
      </c>
      <c r="J865" s="1">
        <f>TablaVentas[[#This Row],[Costo Unitario]]*TablaVentas[[#This Row],[Cantidad]]</f>
        <v>1331.1</v>
      </c>
      <c r="K865" s="1">
        <f>TablaVentas[[#This Row],[Total Venta]]-TablaVentas[[#This Row],[Total Costo]]</f>
        <v>457.86000000000013</v>
      </c>
    </row>
    <row r="866" spans="1:11" x14ac:dyDescent="0.25">
      <c r="A866" s="2">
        <v>45556</v>
      </c>
      <c r="B866" s="1" t="s">
        <v>29</v>
      </c>
      <c r="C866" s="1" t="s">
        <v>30</v>
      </c>
      <c r="D866" s="1" t="s">
        <v>24</v>
      </c>
      <c r="E866" s="1" t="s">
        <v>20</v>
      </c>
      <c r="F866" s="1">
        <v>2</v>
      </c>
      <c r="G866" s="1">
        <v>464.61</v>
      </c>
      <c r="H866" s="1">
        <v>294.83999999999997</v>
      </c>
      <c r="I866" s="1">
        <f>TablaVentas[[#This Row],[Precio Unitario]]*TablaVentas[[#This Row],[Cantidad]]</f>
        <v>929.22</v>
      </c>
      <c r="J866" s="1">
        <f>TablaVentas[[#This Row],[Costo Unitario]]*TablaVentas[[#This Row],[Cantidad]]</f>
        <v>589.67999999999995</v>
      </c>
      <c r="K866" s="1">
        <f>TablaVentas[[#This Row],[Total Venta]]-TablaVentas[[#This Row],[Total Costo]]</f>
        <v>339.54000000000008</v>
      </c>
    </row>
    <row r="867" spans="1:11" x14ac:dyDescent="0.25">
      <c r="A867" s="2">
        <v>45559</v>
      </c>
      <c r="B867" s="1" t="s">
        <v>32</v>
      </c>
      <c r="C867" s="1" t="s">
        <v>30</v>
      </c>
      <c r="D867" s="1" t="s">
        <v>24</v>
      </c>
      <c r="E867" s="1" t="s">
        <v>20</v>
      </c>
      <c r="F867" s="1">
        <v>10</v>
      </c>
      <c r="G867" s="1">
        <v>314.89999999999998</v>
      </c>
      <c r="H867" s="1">
        <v>221.72</v>
      </c>
      <c r="I867" s="1">
        <f>TablaVentas[[#This Row],[Precio Unitario]]*TablaVentas[[#This Row],[Cantidad]]</f>
        <v>3149</v>
      </c>
      <c r="J867" s="1">
        <f>TablaVentas[[#This Row],[Costo Unitario]]*TablaVentas[[#This Row],[Cantidad]]</f>
        <v>2217.1999999999998</v>
      </c>
      <c r="K867" s="1">
        <f>TablaVentas[[#This Row],[Total Venta]]-TablaVentas[[#This Row],[Total Costo]]</f>
        <v>931.80000000000018</v>
      </c>
    </row>
    <row r="868" spans="1:11" x14ac:dyDescent="0.25">
      <c r="A868" s="2">
        <v>45560</v>
      </c>
      <c r="B868" s="1" t="s">
        <v>12</v>
      </c>
      <c r="C868" s="1" t="s">
        <v>13</v>
      </c>
      <c r="D868" s="1" t="s">
        <v>25</v>
      </c>
      <c r="E868" s="1" t="s">
        <v>20</v>
      </c>
      <c r="F868" s="1">
        <v>4</v>
      </c>
      <c r="G868" s="1">
        <v>60.11</v>
      </c>
      <c r="H868" s="1">
        <v>44.58</v>
      </c>
      <c r="I868" s="1">
        <f>TablaVentas[[#This Row],[Precio Unitario]]*TablaVentas[[#This Row],[Cantidad]]</f>
        <v>240.44</v>
      </c>
      <c r="J868" s="1">
        <f>TablaVentas[[#This Row],[Costo Unitario]]*TablaVentas[[#This Row],[Cantidad]]</f>
        <v>178.32</v>
      </c>
      <c r="K868" s="1">
        <f>TablaVentas[[#This Row],[Total Venta]]-TablaVentas[[#This Row],[Total Costo]]</f>
        <v>62.120000000000005</v>
      </c>
    </row>
    <row r="869" spans="1:11" x14ac:dyDescent="0.25">
      <c r="A869" s="2">
        <v>45560</v>
      </c>
      <c r="B869" s="1" t="s">
        <v>26</v>
      </c>
      <c r="C869" s="1" t="s">
        <v>19</v>
      </c>
      <c r="D869" s="1" t="s">
        <v>10</v>
      </c>
      <c r="E869" s="1" t="s">
        <v>28</v>
      </c>
      <c r="F869" s="1">
        <v>8</v>
      </c>
      <c r="G869" s="1">
        <v>38.82</v>
      </c>
      <c r="H869" s="1">
        <v>27.27</v>
      </c>
      <c r="I869" s="1">
        <f>TablaVentas[[#This Row],[Precio Unitario]]*TablaVentas[[#This Row],[Cantidad]]</f>
        <v>310.56</v>
      </c>
      <c r="J869" s="1">
        <f>TablaVentas[[#This Row],[Costo Unitario]]*TablaVentas[[#This Row],[Cantidad]]</f>
        <v>218.16</v>
      </c>
      <c r="K869" s="1">
        <f>TablaVentas[[#This Row],[Total Venta]]-TablaVentas[[#This Row],[Total Costo]]</f>
        <v>92.4</v>
      </c>
    </row>
    <row r="870" spans="1:11" x14ac:dyDescent="0.25">
      <c r="A870" s="2">
        <v>45562</v>
      </c>
      <c r="B870" s="1" t="s">
        <v>23</v>
      </c>
      <c r="C870" s="1" t="s">
        <v>9</v>
      </c>
      <c r="D870" s="1" t="s">
        <v>31</v>
      </c>
      <c r="E870" s="1" t="s">
        <v>11</v>
      </c>
      <c r="F870" s="1">
        <v>6</v>
      </c>
      <c r="G870" s="1">
        <v>77.94</v>
      </c>
      <c r="H870" s="1">
        <v>46.84</v>
      </c>
      <c r="I870" s="1">
        <f>TablaVentas[[#This Row],[Precio Unitario]]*TablaVentas[[#This Row],[Cantidad]]</f>
        <v>467.64</v>
      </c>
      <c r="J870" s="1">
        <f>TablaVentas[[#This Row],[Costo Unitario]]*TablaVentas[[#This Row],[Cantidad]]</f>
        <v>281.04000000000002</v>
      </c>
      <c r="K870" s="1">
        <f>TablaVentas[[#This Row],[Total Venta]]-TablaVentas[[#This Row],[Total Costo]]</f>
        <v>186.59999999999997</v>
      </c>
    </row>
    <row r="871" spans="1:11" x14ac:dyDescent="0.25">
      <c r="A871" s="2">
        <v>45562</v>
      </c>
      <c r="B871" s="1" t="s">
        <v>21</v>
      </c>
      <c r="C871" s="1" t="s">
        <v>19</v>
      </c>
      <c r="D871" s="1" t="s">
        <v>24</v>
      </c>
      <c r="E871" s="1" t="s">
        <v>28</v>
      </c>
      <c r="F871" s="1">
        <v>1</v>
      </c>
      <c r="G871" s="1">
        <v>80.44</v>
      </c>
      <c r="H871" s="1">
        <v>54.48</v>
      </c>
      <c r="I871" s="1">
        <f>TablaVentas[[#This Row],[Precio Unitario]]*TablaVentas[[#This Row],[Cantidad]]</f>
        <v>80.44</v>
      </c>
      <c r="J871" s="1">
        <f>TablaVentas[[#This Row],[Costo Unitario]]*TablaVentas[[#This Row],[Cantidad]]</f>
        <v>54.48</v>
      </c>
      <c r="K871" s="1">
        <f>TablaVentas[[#This Row],[Total Venta]]-TablaVentas[[#This Row],[Total Costo]]</f>
        <v>25.96</v>
      </c>
    </row>
    <row r="872" spans="1:11" x14ac:dyDescent="0.25">
      <c r="A872" s="2">
        <v>45562</v>
      </c>
      <c r="B872" s="1" t="s">
        <v>32</v>
      </c>
      <c r="C872" s="1" t="s">
        <v>30</v>
      </c>
      <c r="D872" s="1" t="s">
        <v>33</v>
      </c>
      <c r="E872" s="1" t="s">
        <v>28</v>
      </c>
      <c r="F872" s="1">
        <v>7</v>
      </c>
      <c r="G872" s="1">
        <v>331.32</v>
      </c>
      <c r="H872" s="1">
        <v>210.18</v>
      </c>
      <c r="I872" s="1">
        <f>TablaVentas[[#This Row],[Precio Unitario]]*TablaVentas[[#This Row],[Cantidad]]</f>
        <v>2319.2399999999998</v>
      </c>
      <c r="J872" s="1">
        <f>TablaVentas[[#This Row],[Costo Unitario]]*TablaVentas[[#This Row],[Cantidad]]</f>
        <v>1471.26</v>
      </c>
      <c r="K872" s="1">
        <f>TablaVentas[[#This Row],[Total Venta]]-TablaVentas[[#This Row],[Total Costo]]</f>
        <v>847.97999999999979</v>
      </c>
    </row>
    <row r="873" spans="1:11" x14ac:dyDescent="0.25">
      <c r="A873" s="2">
        <v>45563</v>
      </c>
      <c r="B873" s="1" t="s">
        <v>34</v>
      </c>
      <c r="C873" s="1" t="s">
        <v>13</v>
      </c>
      <c r="D873" s="1" t="s">
        <v>25</v>
      </c>
      <c r="E873" s="1" t="s">
        <v>15</v>
      </c>
      <c r="F873" s="1">
        <v>2</v>
      </c>
      <c r="G873" s="1">
        <v>258.57</v>
      </c>
      <c r="H873" s="1">
        <v>208.83</v>
      </c>
      <c r="I873" s="1">
        <f>TablaVentas[[#This Row],[Precio Unitario]]*TablaVentas[[#This Row],[Cantidad]]</f>
        <v>517.14</v>
      </c>
      <c r="J873" s="1">
        <f>TablaVentas[[#This Row],[Costo Unitario]]*TablaVentas[[#This Row],[Cantidad]]</f>
        <v>417.66</v>
      </c>
      <c r="K873" s="1">
        <f>TablaVentas[[#This Row],[Total Venta]]-TablaVentas[[#This Row],[Total Costo]]</f>
        <v>99.479999999999961</v>
      </c>
    </row>
    <row r="874" spans="1:11" x14ac:dyDescent="0.25">
      <c r="A874" s="2">
        <v>45564</v>
      </c>
      <c r="B874" s="1" t="s">
        <v>26</v>
      </c>
      <c r="C874" s="1" t="s">
        <v>19</v>
      </c>
      <c r="D874" s="1" t="s">
        <v>14</v>
      </c>
      <c r="E874" s="1" t="s">
        <v>11</v>
      </c>
      <c r="F874" s="1">
        <v>5</v>
      </c>
      <c r="G874" s="1">
        <v>45.25</v>
      </c>
      <c r="H874" s="1">
        <v>24.41</v>
      </c>
      <c r="I874" s="1">
        <f>TablaVentas[[#This Row],[Precio Unitario]]*TablaVentas[[#This Row],[Cantidad]]</f>
        <v>226.25</v>
      </c>
      <c r="J874" s="1">
        <f>TablaVentas[[#This Row],[Costo Unitario]]*TablaVentas[[#This Row],[Cantidad]]</f>
        <v>122.05</v>
      </c>
      <c r="K874" s="1">
        <f>TablaVentas[[#This Row],[Total Venta]]-TablaVentas[[#This Row],[Total Costo]]</f>
        <v>104.2</v>
      </c>
    </row>
    <row r="875" spans="1:11" x14ac:dyDescent="0.25">
      <c r="A875" s="2">
        <v>45565</v>
      </c>
      <c r="B875" s="1" t="s">
        <v>26</v>
      </c>
      <c r="C875" s="1" t="s">
        <v>19</v>
      </c>
      <c r="D875" s="1" t="s">
        <v>24</v>
      </c>
      <c r="E875" s="1" t="s">
        <v>22</v>
      </c>
      <c r="F875" s="1">
        <v>1</v>
      </c>
      <c r="G875" s="1">
        <v>47.78</v>
      </c>
      <c r="H875" s="1">
        <v>23.62</v>
      </c>
      <c r="I875" s="1">
        <f>TablaVentas[[#This Row],[Precio Unitario]]*TablaVentas[[#This Row],[Cantidad]]</f>
        <v>47.78</v>
      </c>
      <c r="J875" s="1">
        <f>TablaVentas[[#This Row],[Costo Unitario]]*TablaVentas[[#This Row],[Cantidad]]</f>
        <v>23.62</v>
      </c>
      <c r="K875" s="1">
        <f>TablaVentas[[#This Row],[Total Venta]]-TablaVentas[[#This Row],[Total Costo]]</f>
        <v>24.16</v>
      </c>
    </row>
    <row r="876" spans="1:11" x14ac:dyDescent="0.25">
      <c r="A876" s="2">
        <v>45565</v>
      </c>
      <c r="B876" s="1" t="s">
        <v>16</v>
      </c>
      <c r="C876" s="1" t="s">
        <v>13</v>
      </c>
      <c r="D876" s="1" t="s">
        <v>17</v>
      </c>
      <c r="E876" s="1" t="s">
        <v>22</v>
      </c>
      <c r="F876" s="1">
        <v>5</v>
      </c>
      <c r="G876" s="1">
        <v>49.32</v>
      </c>
      <c r="H876" s="1">
        <v>36.65</v>
      </c>
      <c r="I876" s="1">
        <f>TablaVentas[[#This Row],[Precio Unitario]]*TablaVentas[[#This Row],[Cantidad]]</f>
        <v>246.6</v>
      </c>
      <c r="J876" s="1">
        <f>TablaVentas[[#This Row],[Costo Unitario]]*TablaVentas[[#This Row],[Cantidad]]</f>
        <v>183.25</v>
      </c>
      <c r="K876" s="1">
        <f>TablaVentas[[#This Row],[Total Venta]]-TablaVentas[[#This Row],[Total Costo]]</f>
        <v>63.349999999999994</v>
      </c>
    </row>
    <row r="877" spans="1:11" x14ac:dyDescent="0.25">
      <c r="A877" s="2">
        <v>45566</v>
      </c>
      <c r="B877" s="1" t="s">
        <v>16</v>
      </c>
      <c r="C877" s="1" t="s">
        <v>13</v>
      </c>
      <c r="D877" s="1" t="s">
        <v>25</v>
      </c>
      <c r="E877" s="1" t="s">
        <v>28</v>
      </c>
      <c r="F877" s="1">
        <v>1</v>
      </c>
      <c r="G877" s="1">
        <v>59.48</v>
      </c>
      <c r="H877" s="1">
        <v>36.67</v>
      </c>
      <c r="I877" s="1">
        <f>TablaVentas[[#This Row],[Precio Unitario]]*TablaVentas[[#This Row],[Cantidad]]</f>
        <v>59.48</v>
      </c>
      <c r="J877" s="1">
        <f>TablaVentas[[#This Row],[Costo Unitario]]*TablaVentas[[#This Row],[Cantidad]]</f>
        <v>36.67</v>
      </c>
      <c r="K877" s="1">
        <f>TablaVentas[[#This Row],[Total Venta]]-TablaVentas[[#This Row],[Total Costo]]</f>
        <v>22.809999999999995</v>
      </c>
    </row>
    <row r="878" spans="1:11" x14ac:dyDescent="0.25">
      <c r="A878" s="2">
        <v>45567</v>
      </c>
      <c r="B878" s="1" t="s">
        <v>26</v>
      </c>
      <c r="C878" s="1" t="s">
        <v>19</v>
      </c>
      <c r="D878" s="1" t="s">
        <v>31</v>
      </c>
      <c r="E878" s="1" t="s">
        <v>11</v>
      </c>
      <c r="F878" s="1">
        <v>5</v>
      </c>
      <c r="G878" s="1">
        <v>40.729999999999997</v>
      </c>
      <c r="H878" s="1">
        <v>26.37</v>
      </c>
      <c r="I878" s="1">
        <f>TablaVentas[[#This Row],[Precio Unitario]]*TablaVentas[[#This Row],[Cantidad]]</f>
        <v>203.64999999999998</v>
      </c>
      <c r="J878" s="1">
        <f>TablaVentas[[#This Row],[Costo Unitario]]*TablaVentas[[#This Row],[Cantidad]]</f>
        <v>131.85</v>
      </c>
      <c r="K878" s="1">
        <f>TablaVentas[[#This Row],[Total Venta]]-TablaVentas[[#This Row],[Total Costo]]</f>
        <v>71.799999999999983</v>
      </c>
    </row>
    <row r="879" spans="1:11" x14ac:dyDescent="0.25">
      <c r="A879" s="2">
        <v>45567</v>
      </c>
      <c r="B879" s="1" t="s">
        <v>18</v>
      </c>
      <c r="C879" s="1" t="s">
        <v>19</v>
      </c>
      <c r="D879" s="1" t="s">
        <v>33</v>
      </c>
      <c r="E879" s="1" t="s">
        <v>20</v>
      </c>
      <c r="F879" s="1">
        <v>10</v>
      </c>
      <c r="G879" s="1">
        <v>1293.6099999999999</v>
      </c>
      <c r="H879" s="1">
        <v>875.71</v>
      </c>
      <c r="I879" s="1">
        <f>TablaVentas[[#This Row],[Precio Unitario]]*TablaVentas[[#This Row],[Cantidad]]</f>
        <v>12936.099999999999</v>
      </c>
      <c r="J879" s="1">
        <f>TablaVentas[[#This Row],[Costo Unitario]]*TablaVentas[[#This Row],[Cantidad]]</f>
        <v>8757.1</v>
      </c>
      <c r="K879" s="1">
        <f>TablaVentas[[#This Row],[Total Venta]]-TablaVentas[[#This Row],[Total Costo]]</f>
        <v>4178.9999999999982</v>
      </c>
    </row>
    <row r="880" spans="1:11" x14ac:dyDescent="0.25">
      <c r="A880" s="2">
        <v>45567</v>
      </c>
      <c r="B880" s="1" t="s">
        <v>26</v>
      </c>
      <c r="C880" s="1" t="s">
        <v>19</v>
      </c>
      <c r="D880" s="1" t="s">
        <v>31</v>
      </c>
      <c r="E880" s="1" t="s">
        <v>28</v>
      </c>
      <c r="F880" s="1">
        <v>1</v>
      </c>
      <c r="G880" s="1">
        <v>39.450000000000003</v>
      </c>
      <c r="H880" s="1">
        <v>25.91</v>
      </c>
      <c r="I880" s="1">
        <f>TablaVentas[[#This Row],[Precio Unitario]]*TablaVentas[[#This Row],[Cantidad]]</f>
        <v>39.450000000000003</v>
      </c>
      <c r="J880" s="1">
        <f>TablaVentas[[#This Row],[Costo Unitario]]*TablaVentas[[#This Row],[Cantidad]]</f>
        <v>25.91</v>
      </c>
      <c r="K880" s="1">
        <f>TablaVentas[[#This Row],[Total Venta]]-TablaVentas[[#This Row],[Total Costo]]</f>
        <v>13.540000000000003</v>
      </c>
    </row>
    <row r="881" spans="1:11" x14ac:dyDescent="0.25">
      <c r="A881" s="2">
        <v>45568</v>
      </c>
      <c r="B881" s="1" t="s">
        <v>23</v>
      </c>
      <c r="C881" s="1" t="s">
        <v>9</v>
      </c>
      <c r="D881" s="1" t="s">
        <v>33</v>
      </c>
      <c r="E881" s="1" t="s">
        <v>11</v>
      </c>
      <c r="F881" s="1">
        <v>4</v>
      </c>
      <c r="G881" s="1">
        <v>85.24</v>
      </c>
      <c r="H881" s="1">
        <v>46.12</v>
      </c>
      <c r="I881" s="1">
        <f>TablaVentas[[#This Row],[Precio Unitario]]*TablaVentas[[#This Row],[Cantidad]]</f>
        <v>340.96</v>
      </c>
      <c r="J881" s="1">
        <f>TablaVentas[[#This Row],[Costo Unitario]]*TablaVentas[[#This Row],[Cantidad]]</f>
        <v>184.48</v>
      </c>
      <c r="K881" s="1">
        <f>TablaVentas[[#This Row],[Total Venta]]-TablaVentas[[#This Row],[Total Costo]]</f>
        <v>156.47999999999999</v>
      </c>
    </row>
    <row r="882" spans="1:11" x14ac:dyDescent="0.25">
      <c r="A882" s="2">
        <v>45573</v>
      </c>
      <c r="B882" s="1" t="s">
        <v>21</v>
      </c>
      <c r="C882" s="1" t="s">
        <v>19</v>
      </c>
      <c r="D882" s="1" t="s">
        <v>25</v>
      </c>
      <c r="E882" s="1" t="s">
        <v>11</v>
      </c>
      <c r="F882" s="1">
        <v>3</v>
      </c>
      <c r="G882" s="1">
        <v>86.26</v>
      </c>
      <c r="H882" s="1">
        <v>48.68</v>
      </c>
      <c r="I882" s="1">
        <f>TablaVentas[[#This Row],[Precio Unitario]]*TablaVentas[[#This Row],[Cantidad]]</f>
        <v>258.78000000000003</v>
      </c>
      <c r="J882" s="1">
        <f>TablaVentas[[#This Row],[Costo Unitario]]*TablaVentas[[#This Row],[Cantidad]]</f>
        <v>146.04</v>
      </c>
      <c r="K882" s="1">
        <f>TablaVentas[[#This Row],[Total Venta]]-TablaVentas[[#This Row],[Total Costo]]</f>
        <v>112.74000000000004</v>
      </c>
    </row>
    <row r="883" spans="1:11" x14ac:dyDescent="0.25">
      <c r="A883" s="2">
        <v>45574</v>
      </c>
      <c r="B883" s="1" t="s">
        <v>26</v>
      </c>
      <c r="C883" s="1" t="s">
        <v>19</v>
      </c>
      <c r="D883" s="1" t="s">
        <v>27</v>
      </c>
      <c r="E883" s="1" t="s">
        <v>22</v>
      </c>
      <c r="F883" s="1">
        <v>3</v>
      </c>
      <c r="G883" s="1">
        <v>51.06</v>
      </c>
      <c r="H883" s="1">
        <v>24.51</v>
      </c>
      <c r="I883" s="1">
        <f>TablaVentas[[#This Row],[Precio Unitario]]*TablaVentas[[#This Row],[Cantidad]]</f>
        <v>153.18</v>
      </c>
      <c r="J883" s="1">
        <f>TablaVentas[[#This Row],[Costo Unitario]]*TablaVentas[[#This Row],[Cantidad]]</f>
        <v>73.53</v>
      </c>
      <c r="K883" s="1">
        <f>TablaVentas[[#This Row],[Total Venta]]-TablaVentas[[#This Row],[Total Costo]]</f>
        <v>79.650000000000006</v>
      </c>
    </row>
    <row r="884" spans="1:11" x14ac:dyDescent="0.25">
      <c r="A884" s="2">
        <v>45574</v>
      </c>
      <c r="B884" s="1" t="s">
        <v>32</v>
      </c>
      <c r="C884" s="1" t="s">
        <v>30</v>
      </c>
      <c r="D884" s="1" t="s">
        <v>17</v>
      </c>
      <c r="E884" s="1" t="s">
        <v>15</v>
      </c>
      <c r="F884" s="1">
        <v>1</v>
      </c>
      <c r="G884" s="1">
        <v>328.05</v>
      </c>
      <c r="H884" s="1">
        <v>189.15</v>
      </c>
      <c r="I884" s="1">
        <f>TablaVentas[[#This Row],[Precio Unitario]]*TablaVentas[[#This Row],[Cantidad]]</f>
        <v>328.05</v>
      </c>
      <c r="J884" s="1">
        <f>TablaVentas[[#This Row],[Costo Unitario]]*TablaVentas[[#This Row],[Cantidad]]</f>
        <v>189.15</v>
      </c>
      <c r="K884" s="1">
        <f>TablaVentas[[#This Row],[Total Venta]]-TablaVentas[[#This Row],[Total Costo]]</f>
        <v>138.9</v>
      </c>
    </row>
    <row r="885" spans="1:11" x14ac:dyDescent="0.25">
      <c r="A885" s="2">
        <v>45574</v>
      </c>
      <c r="B885" s="1" t="s">
        <v>23</v>
      </c>
      <c r="C885" s="1" t="s">
        <v>9</v>
      </c>
      <c r="D885" s="1" t="s">
        <v>14</v>
      </c>
      <c r="E885" s="1" t="s">
        <v>11</v>
      </c>
      <c r="F885" s="1">
        <v>5</v>
      </c>
      <c r="G885" s="1">
        <v>78.5</v>
      </c>
      <c r="H885" s="1">
        <v>42.97</v>
      </c>
      <c r="I885" s="1">
        <f>TablaVentas[[#This Row],[Precio Unitario]]*TablaVentas[[#This Row],[Cantidad]]</f>
        <v>392.5</v>
      </c>
      <c r="J885" s="1">
        <f>TablaVentas[[#This Row],[Costo Unitario]]*TablaVentas[[#This Row],[Cantidad]]</f>
        <v>214.85</v>
      </c>
      <c r="K885" s="1">
        <f>TablaVentas[[#This Row],[Total Venta]]-TablaVentas[[#This Row],[Total Costo]]</f>
        <v>177.65</v>
      </c>
    </row>
    <row r="886" spans="1:11" x14ac:dyDescent="0.25">
      <c r="A886" s="2">
        <v>45574</v>
      </c>
      <c r="B886" s="1" t="s">
        <v>34</v>
      </c>
      <c r="C886" s="1" t="s">
        <v>13</v>
      </c>
      <c r="D886" s="1" t="s">
        <v>17</v>
      </c>
      <c r="E886" s="1" t="s">
        <v>11</v>
      </c>
      <c r="F886" s="1">
        <v>2</v>
      </c>
      <c r="G886" s="1">
        <v>294.58999999999997</v>
      </c>
      <c r="H886" s="1">
        <v>193.74</v>
      </c>
      <c r="I886" s="1">
        <f>TablaVentas[[#This Row],[Precio Unitario]]*TablaVentas[[#This Row],[Cantidad]]</f>
        <v>589.17999999999995</v>
      </c>
      <c r="J886" s="1">
        <f>TablaVentas[[#This Row],[Costo Unitario]]*TablaVentas[[#This Row],[Cantidad]]</f>
        <v>387.48</v>
      </c>
      <c r="K886" s="1">
        <f>TablaVentas[[#This Row],[Total Venta]]-TablaVentas[[#This Row],[Total Costo]]</f>
        <v>201.69999999999993</v>
      </c>
    </row>
    <row r="887" spans="1:11" x14ac:dyDescent="0.25">
      <c r="A887" s="2">
        <v>45576</v>
      </c>
      <c r="B887" s="1" t="s">
        <v>16</v>
      </c>
      <c r="C887" s="1" t="s">
        <v>13</v>
      </c>
      <c r="D887" s="1" t="s">
        <v>31</v>
      </c>
      <c r="E887" s="1" t="s">
        <v>28</v>
      </c>
      <c r="F887" s="1">
        <v>8</v>
      </c>
      <c r="G887" s="1">
        <v>62.45</v>
      </c>
      <c r="H887" s="1">
        <v>33.11</v>
      </c>
      <c r="I887" s="1">
        <f>TablaVentas[[#This Row],[Precio Unitario]]*TablaVentas[[#This Row],[Cantidad]]</f>
        <v>499.6</v>
      </c>
      <c r="J887" s="1">
        <f>TablaVentas[[#This Row],[Costo Unitario]]*TablaVentas[[#This Row],[Cantidad]]</f>
        <v>264.88</v>
      </c>
      <c r="K887" s="1">
        <f>TablaVentas[[#This Row],[Total Venta]]-TablaVentas[[#This Row],[Total Costo]]</f>
        <v>234.72000000000003</v>
      </c>
    </row>
    <row r="888" spans="1:11" x14ac:dyDescent="0.25">
      <c r="A888" s="2">
        <v>45577</v>
      </c>
      <c r="B888" s="1" t="s">
        <v>29</v>
      </c>
      <c r="C888" s="1" t="s">
        <v>30</v>
      </c>
      <c r="D888" s="1" t="s">
        <v>25</v>
      </c>
      <c r="E888" s="1" t="s">
        <v>20</v>
      </c>
      <c r="F888" s="1">
        <v>7</v>
      </c>
      <c r="G888" s="1">
        <v>429.12</v>
      </c>
      <c r="H888" s="1">
        <v>315.20999999999998</v>
      </c>
      <c r="I888" s="1">
        <f>TablaVentas[[#This Row],[Precio Unitario]]*TablaVentas[[#This Row],[Cantidad]]</f>
        <v>3003.84</v>
      </c>
      <c r="J888" s="1">
        <f>TablaVentas[[#This Row],[Costo Unitario]]*TablaVentas[[#This Row],[Cantidad]]</f>
        <v>2206.4699999999998</v>
      </c>
      <c r="K888" s="1">
        <f>TablaVentas[[#This Row],[Total Venta]]-TablaVentas[[#This Row],[Total Costo]]</f>
        <v>797.37000000000035</v>
      </c>
    </row>
    <row r="889" spans="1:11" x14ac:dyDescent="0.25">
      <c r="A889" s="2">
        <v>45579</v>
      </c>
      <c r="B889" s="1" t="s">
        <v>12</v>
      </c>
      <c r="C889" s="1" t="s">
        <v>13</v>
      </c>
      <c r="D889" s="1" t="s">
        <v>24</v>
      </c>
      <c r="E889" s="1" t="s">
        <v>11</v>
      </c>
      <c r="F889" s="1">
        <v>3</v>
      </c>
      <c r="G889" s="1">
        <v>58.43</v>
      </c>
      <c r="H889" s="1">
        <v>39.49</v>
      </c>
      <c r="I889" s="1">
        <f>TablaVentas[[#This Row],[Precio Unitario]]*TablaVentas[[#This Row],[Cantidad]]</f>
        <v>175.29</v>
      </c>
      <c r="J889" s="1">
        <f>TablaVentas[[#This Row],[Costo Unitario]]*TablaVentas[[#This Row],[Cantidad]]</f>
        <v>118.47</v>
      </c>
      <c r="K889" s="1">
        <f>TablaVentas[[#This Row],[Total Venta]]-TablaVentas[[#This Row],[Total Costo]]</f>
        <v>56.819999999999993</v>
      </c>
    </row>
    <row r="890" spans="1:11" x14ac:dyDescent="0.25">
      <c r="A890" s="2">
        <v>45579</v>
      </c>
      <c r="B890" s="1" t="s">
        <v>18</v>
      </c>
      <c r="C890" s="1" t="s">
        <v>19</v>
      </c>
      <c r="D890" s="1" t="s">
        <v>17</v>
      </c>
      <c r="E890" s="1" t="s">
        <v>11</v>
      </c>
      <c r="F890" s="1">
        <v>6</v>
      </c>
      <c r="G890" s="1">
        <v>1229.68</v>
      </c>
      <c r="H890" s="1">
        <v>861.76</v>
      </c>
      <c r="I890" s="1">
        <f>TablaVentas[[#This Row],[Precio Unitario]]*TablaVentas[[#This Row],[Cantidad]]</f>
        <v>7378.08</v>
      </c>
      <c r="J890" s="1">
        <f>TablaVentas[[#This Row],[Costo Unitario]]*TablaVentas[[#This Row],[Cantidad]]</f>
        <v>5170.5599999999995</v>
      </c>
      <c r="K890" s="1">
        <f>TablaVentas[[#This Row],[Total Venta]]-TablaVentas[[#This Row],[Total Costo]]</f>
        <v>2207.5200000000004</v>
      </c>
    </row>
    <row r="891" spans="1:11" x14ac:dyDescent="0.25">
      <c r="A891" s="2">
        <v>45580</v>
      </c>
      <c r="B891" s="1" t="s">
        <v>21</v>
      </c>
      <c r="C891" s="1" t="s">
        <v>19</v>
      </c>
      <c r="D891" s="1" t="s">
        <v>24</v>
      </c>
      <c r="E891" s="1" t="s">
        <v>15</v>
      </c>
      <c r="F891" s="1">
        <v>8</v>
      </c>
      <c r="G891" s="1">
        <v>92.86</v>
      </c>
      <c r="H891" s="1">
        <v>54.71</v>
      </c>
      <c r="I891" s="1">
        <f>TablaVentas[[#This Row],[Precio Unitario]]*TablaVentas[[#This Row],[Cantidad]]</f>
        <v>742.88</v>
      </c>
      <c r="J891" s="1">
        <f>TablaVentas[[#This Row],[Costo Unitario]]*TablaVentas[[#This Row],[Cantidad]]</f>
        <v>437.68</v>
      </c>
      <c r="K891" s="1">
        <f>TablaVentas[[#This Row],[Total Venta]]-TablaVentas[[#This Row],[Total Costo]]</f>
        <v>305.2</v>
      </c>
    </row>
    <row r="892" spans="1:11" x14ac:dyDescent="0.25">
      <c r="A892" s="2">
        <v>45581</v>
      </c>
      <c r="B892" s="1" t="s">
        <v>21</v>
      </c>
      <c r="C892" s="1" t="s">
        <v>19</v>
      </c>
      <c r="D892" s="1" t="s">
        <v>33</v>
      </c>
      <c r="E892" s="1" t="s">
        <v>20</v>
      </c>
      <c r="F892" s="1">
        <v>4</v>
      </c>
      <c r="G892" s="1">
        <v>81.099999999999994</v>
      </c>
      <c r="H892" s="1">
        <v>52.82</v>
      </c>
      <c r="I892" s="1">
        <f>TablaVentas[[#This Row],[Precio Unitario]]*TablaVentas[[#This Row],[Cantidad]]</f>
        <v>324.39999999999998</v>
      </c>
      <c r="J892" s="1">
        <f>TablaVentas[[#This Row],[Costo Unitario]]*TablaVentas[[#This Row],[Cantidad]]</f>
        <v>211.28</v>
      </c>
      <c r="K892" s="1">
        <f>TablaVentas[[#This Row],[Total Venta]]-TablaVentas[[#This Row],[Total Costo]]</f>
        <v>113.11999999999998</v>
      </c>
    </row>
    <row r="893" spans="1:11" x14ac:dyDescent="0.25">
      <c r="A893" s="2">
        <v>45581</v>
      </c>
      <c r="B893" s="1" t="s">
        <v>12</v>
      </c>
      <c r="C893" s="1" t="s">
        <v>13</v>
      </c>
      <c r="D893" s="1" t="s">
        <v>31</v>
      </c>
      <c r="E893" s="1" t="s">
        <v>28</v>
      </c>
      <c r="F893" s="1">
        <v>9</v>
      </c>
      <c r="G893" s="1">
        <v>63.48</v>
      </c>
      <c r="H893" s="1">
        <v>45.11</v>
      </c>
      <c r="I893" s="1">
        <f>TablaVentas[[#This Row],[Precio Unitario]]*TablaVentas[[#This Row],[Cantidad]]</f>
        <v>571.31999999999994</v>
      </c>
      <c r="J893" s="1">
        <f>TablaVentas[[#This Row],[Costo Unitario]]*TablaVentas[[#This Row],[Cantidad]]</f>
        <v>405.99</v>
      </c>
      <c r="K893" s="1">
        <f>TablaVentas[[#This Row],[Total Venta]]-TablaVentas[[#This Row],[Total Costo]]</f>
        <v>165.32999999999993</v>
      </c>
    </row>
    <row r="894" spans="1:11" x14ac:dyDescent="0.25">
      <c r="A894" s="2">
        <v>45581</v>
      </c>
      <c r="B894" s="1" t="s">
        <v>34</v>
      </c>
      <c r="C894" s="1" t="s">
        <v>13</v>
      </c>
      <c r="D894" s="1" t="s">
        <v>25</v>
      </c>
      <c r="E894" s="1" t="s">
        <v>28</v>
      </c>
      <c r="F894" s="1">
        <v>10</v>
      </c>
      <c r="G894" s="1">
        <v>259.64999999999998</v>
      </c>
      <c r="H894" s="1">
        <v>189.09</v>
      </c>
      <c r="I894" s="1">
        <f>TablaVentas[[#This Row],[Precio Unitario]]*TablaVentas[[#This Row],[Cantidad]]</f>
        <v>2596.5</v>
      </c>
      <c r="J894" s="1">
        <f>TablaVentas[[#This Row],[Costo Unitario]]*TablaVentas[[#This Row],[Cantidad]]</f>
        <v>1890.9</v>
      </c>
      <c r="K894" s="1">
        <f>TablaVentas[[#This Row],[Total Venta]]-TablaVentas[[#This Row],[Total Costo]]</f>
        <v>705.59999999999991</v>
      </c>
    </row>
    <row r="895" spans="1:11" x14ac:dyDescent="0.25">
      <c r="A895" s="2">
        <v>45582</v>
      </c>
      <c r="B895" s="1" t="s">
        <v>21</v>
      </c>
      <c r="C895" s="1" t="s">
        <v>19</v>
      </c>
      <c r="D895" s="1" t="s">
        <v>31</v>
      </c>
      <c r="E895" s="1" t="s">
        <v>28</v>
      </c>
      <c r="F895" s="1">
        <v>1</v>
      </c>
      <c r="G895" s="1">
        <v>79.290000000000006</v>
      </c>
      <c r="H895" s="1">
        <v>53.76</v>
      </c>
      <c r="I895" s="1">
        <f>TablaVentas[[#This Row],[Precio Unitario]]*TablaVentas[[#This Row],[Cantidad]]</f>
        <v>79.290000000000006</v>
      </c>
      <c r="J895" s="1">
        <f>TablaVentas[[#This Row],[Costo Unitario]]*TablaVentas[[#This Row],[Cantidad]]</f>
        <v>53.76</v>
      </c>
      <c r="K895" s="1">
        <f>TablaVentas[[#This Row],[Total Venta]]-TablaVentas[[#This Row],[Total Costo]]</f>
        <v>25.530000000000008</v>
      </c>
    </row>
    <row r="896" spans="1:11" x14ac:dyDescent="0.25">
      <c r="A896" s="2">
        <v>45582</v>
      </c>
      <c r="B896" s="1" t="s">
        <v>21</v>
      </c>
      <c r="C896" s="1" t="s">
        <v>19</v>
      </c>
      <c r="D896" s="1" t="s">
        <v>33</v>
      </c>
      <c r="E896" s="1" t="s">
        <v>22</v>
      </c>
      <c r="F896" s="1">
        <v>6</v>
      </c>
      <c r="G896" s="1">
        <v>100.78</v>
      </c>
      <c r="H896" s="1">
        <v>47.81</v>
      </c>
      <c r="I896" s="1">
        <f>TablaVentas[[#This Row],[Precio Unitario]]*TablaVentas[[#This Row],[Cantidad]]</f>
        <v>604.68000000000006</v>
      </c>
      <c r="J896" s="1">
        <f>TablaVentas[[#This Row],[Costo Unitario]]*TablaVentas[[#This Row],[Cantidad]]</f>
        <v>286.86</v>
      </c>
      <c r="K896" s="1">
        <f>TablaVentas[[#This Row],[Total Venta]]-TablaVentas[[#This Row],[Total Costo]]</f>
        <v>317.82000000000005</v>
      </c>
    </row>
    <row r="897" spans="1:11" x14ac:dyDescent="0.25">
      <c r="A897" s="2">
        <v>45583</v>
      </c>
      <c r="B897" s="1" t="s">
        <v>23</v>
      </c>
      <c r="C897" s="1" t="s">
        <v>9</v>
      </c>
      <c r="D897" s="1" t="s">
        <v>14</v>
      </c>
      <c r="E897" s="1" t="s">
        <v>22</v>
      </c>
      <c r="F897" s="1">
        <v>7</v>
      </c>
      <c r="G897" s="1">
        <v>82.69</v>
      </c>
      <c r="H897" s="1">
        <v>42.9</v>
      </c>
      <c r="I897" s="1">
        <f>TablaVentas[[#This Row],[Precio Unitario]]*TablaVentas[[#This Row],[Cantidad]]</f>
        <v>578.82999999999993</v>
      </c>
      <c r="J897" s="1">
        <f>TablaVentas[[#This Row],[Costo Unitario]]*TablaVentas[[#This Row],[Cantidad]]</f>
        <v>300.3</v>
      </c>
      <c r="K897" s="1">
        <f>TablaVentas[[#This Row],[Total Venta]]-TablaVentas[[#This Row],[Total Costo]]</f>
        <v>278.52999999999992</v>
      </c>
    </row>
    <row r="898" spans="1:11" x14ac:dyDescent="0.25">
      <c r="A898" s="2">
        <v>45583</v>
      </c>
      <c r="B898" s="1" t="s">
        <v>29</v>
      </c>
      <c r="C898" s="1" t="s">
        <v>30</v>
      </c>
      <c r="D898" s="1" t="s">
        <v>14</v>
      </c>
      <c r="E898" s="1" t="s">
        <v>11</v>
      </c>
      <c r="F898" s="1">
        <v>3</v>
      </c>
      <c r="G898" s="1">
        <v>510.96</v>
      </c>
      <c r="H898" s="1">
        <v>331.49</v>
      </c>
      <c r="I898" s="1">
        <f>TablaVentas[[#This Row],[Precio Unitario]]*TablaVentas[[#This Row],[Cantidad]]</f>
        <v>1532.8799999999999</v>
      </c>
      <c r="J898" s="1">
        <f>TablaVentas[[#This Row],[Costo Unitario]]*TablaVentas[[#This Row],[Cantidad]]</f>
        <v>994.47</v>
      </c>
      <c r="K898" s="1">
        <f>TablaVentas[[#This Row],[Total Venta]]-TablaVentas[[#This Row],[Total Costo]]</f>
        <v>538.40999999999985</v>
      </c>
    </row>
    <row r="899" spans="1:11" x14ac:dyDescent="0.25">
      <c r="A899" s="2">
        <v>45583</v>
      </c>
      <c r="B899" s="1" t="s">
        <v>34</v>
      </c>
      <c r="C899" s="1" t="s">
        <v>13</v>
      </c>
      <c r="D899" s="1" t="s">
        <v>27</v>
      </c>
      <c r="E899" s="1" t="s">
        <v>22</v>
      </c>
      <c r="F899" s="1">
        <v>4</v>
      </c>
      <c r="G899" s="1">
        <v>269.11</v>
      </c>
      <c r="H899" s="1">
        <v>173.85</v>
      </c>
      <c r="I899" s="1">
        <f>TablaVentas[[#This Row],[Precio Unitario]]*TablaVentas[[#This Row],[Cantidad]]</f>
        <v>1076.44</v>
      </c>
      <c r="J899" s="1">
        <f>TablaVentas[[#This Row],[Costo Unitario]]*TablaVentas[[#This Row],[Cantidad]]</f>
        <v>695.4</v>
      </c>
      <c r="K899" s="1">
        <f>TablaVentas[[#This Row],[Total Venta]]-TablaVentas[[#This Row],[Total Costo]]</f>
        <v>381.04000000000008</v>
      </c>
    </row>
    <row r="900" spans="1:11" x14ac:dyDescent="0.25">
      <c r="A900" s="2">
        <v>45585</v>
      </c>
      <c r="B900" s="1" t="s">
        <v>34</v>
      </c>
      <c r="C900" s="1" t="s">
        <v>13</v>
      </c>
      <c r="D900" s="1" t="s">
        <v>33</v>
      </c>
      <c r="E900" s="1" t="s">
        <v>22</v>
      </c>
      <c r="F900" s="1">
        <v>4</v>
      </c>
      <c r="G900" s="1">
        <v>277.26</v>
      </c>
      <c r="H900" s="1">
        <v>185.93</v>
      </c>
      <c r="I900" s="1">
        <f>TablaVentas[[#This Row],[Precio Unitario]]*TablaVentas[[#This Row],[Cantidad]]</f>
        <v>1109.04</v>
      </c>
      <c r="J900" s="1">
        <f>TablaVentas[[#This Row],[Costo Unitario]]*TablaVentas[[#This Row],[Cantidad]]</f>
        <v>743.72</v>
      </c>
      <c r="K900" s="1">
        <f>TablaVentas[[#This Row],[Total Venta]]-TablaVentas[[#This Row],[Total Costo]]</f>
        <v>365.31999999999994</v>
      </c>
    </row>
    <row r="901" spans="1:11" x14ac:dyDescent="0.25">
      <c r="A901" s="2">
        <v>45585</v>
      </c>
      <c r="B901" s="1" t="s">
        <v>34</v>
      </c>
      <c r="C901" s="1" t="s">
        <v>13</v>
      </c>
      <c r="D901" s="1" t="s">
        <v>27</v>
      </c>
      <c r="E901" s="1" t="s">
        <v>20</v>
      </c>
      <c r="F901" s="1">
        <v>7</v>
      </c>
      <c r="G901" s="1">
        <v>268.05</v>
      </c>
      <c r="H901" s="1">
        <v>198.06</v>
      </c>
      <c r="I901" s="1">
        <f>TablaVentas[[#This Row],[Precio Unitario]]*TablaVentas[[#This Row],[Cantidad]]</f>
        <v>1876.3500000000001</v>
      </c>
      <c r="J901" s="1">
        <f>TablaVentas[[#This Row],[Costo Unitario]]*TablaVentas[[#This Row],[Cantidad]]</f>
        <v>1386.42</v>
      </c>
      <c r="K901" s="1">
        <f>TablaVentas[[#This Row],[Total Venta]]-TablaVentas[[#This Row],[Total Costo]]</f>
        <v>489.93000000000006</v>
      </c>
    </row>
    <row r="902" spans="1:11" x14ac:dyDescent="0.25">
      <c r="A902" s="2">
        <v>45586</v>
      </c>
      <c r="B902" s="1" t="s">
        <v>21</v>
      </c>
      <c r="C902" s="1" t="s">
        <v>19</v>
      </c>
      <c r="D902" s="1" t="s">
        <v>31</v>
      </c>
      <c r="E902" s="1" t="s">
        <v>20</v>
      </c>
      <c r="F902" s="1">
        <v>7</v>
      </c>
      <c r="G902" s="1">
        <v>89.94</v>
      </c>
      <c r="H902" s="1">
        <v>57.2</v>
      </c>
      <c r="I902" s="1">
        <f>TablaVentas[[#This Row],[Precio Unitario]]*TablaVentas[[#This Row],[Cantidad]]</f>
        <v>629.57999999999993</v>
      </c>
      <c r="J902" s="1">
        <f>TablaVentas[[#This Row],[Costo Unitario]]*TablaVentas[[#This Row],[Cantidad]]</f>
        <v>400.40000000000003</v>
      </c>
      <c r="K902" s="1">
        <f>TablaVentas[[#This Row],[Total Venta]]-TablaVentas[[#This Row],[Total Costo]]</f>
        <v>229.17999999999989</v>
      </c>
    </row>
    <row r="903" spans="1:11" x14ac:dyDescent="0.25">
      <c r="A903" s="2">
        <v>45586</v>
      </c>
      <c r="B903" s="1" t="s">
        <v>23</v>
      </c>
      <c r="C903" s="1" t="s">
        <v>9</v>
      </c>
      <c r="D903" s="1" t="s">
        <v>31</v>
      </c>
      <c r="E903" s="1" t="s">
        <v>20</v>
      </c>
      <c r="F903" s="1">
        <v>2</v>
      </c>
      <c r="G903" s="1">
        <v>66.73</v>
      </c>
      <c r="H903" s="1">
        <v>47.66</v>
      </c>
      <c r="I903" s="1">
        <f>TablaVentas[[#This Row],[Precio Unitario]]*TablaVentas[[#This Row],[Cantidad]]</f>
        <v>133.46</v>
      </c>
      <c r="J903" s="1">
        <f>TablaVentas[[#This Row],[Costo Unitario]]*TablaVentas[[#This Row],[Cantidad]]</f>
        <v>95.32</v>
      </c>
      <c r="K903" s="1">
        <f>TablaVentas[[#This Row],[Total Venta]]-TablaVentas[[#This Row],[Total Costo]]</f>
        <v>38.140000000000015</v>
      </c>
    </row>
    <row r="904" spans="1:11" x14ac:dyDescent="0.25">
      <c r="A904" s="2">
        <v>45587</v>
      </c>
      <c r="B904" s="1" t="s">
        <v>21</v>
      </c>
      <c r="C904" s="1" t="s">
        <v>19</v>
      </c>
      <c r="D904" s="1" t="s">
        <v>24</v>
      </c>
      <c r="E904" s="1" t="s">
        <v>11</v>
      </c>
      <c r="F904" s="1">
        <v>5</v>
      </c>
      <c r="G904" s="1">
        <v>76.06</v>
      </c>
      <c r="H904" s="1">
        <v>48.25</v>
      </c>
      <c r="I904" s="1">
        <f>TablaVentas[[#This Row],[Precio Unitario]]*TablaVentas[[#This Row],[Cantidad]]</f>
        <v>380.3</v>
      </c>
      <c r="J904" s="1">
        <f>TablaVentas[[#This Row],[Costo Unitario]]*TablaVentas[[#This Row],[Cantidad]]</f>
        <v>241.25</v>
      </c>
      <c r="K904" s="1">
        <f>TablaVentas[[#This Row],[Total Venta]]-TablaVentas[[#This Row],[Total Costo]]</f>
        <v>139.05000000000001</v>
      </c>
    </row>
    <row r="905" spans="1:11" x14ac:dyDescent="0.25">
      <c r="A905" s="2">
        <v>45587</v>
      </c>
      <c r="B905" s="1" t="s">
        <v>34</v>
      </c>
      <c r="C905" s="1" t="s">
        <v>13</v>
      </c>
      <c r="D905" s="1" t="s">
        <v>33</v>
      </c>
      <c r="E905" s="1" t="s">
        <v>11</v>
      </c>
      <c r="F905" s="1">
        <v>3</v>
      </c>
      <c r="G905" s="1">
        <v>270.8</v>
      </c>
      <c r="H905" s="1">
        <v>183.81</v>
      </c>
      <c r="I905" s="1">
        <f>TablaVentas[[#This Row],[Precio Unitario]]*TablaVentas[[#This Row],[Cantidad]]</f>
        <v>812.40000000000009</v>
      </c>
      <c r="J905" s="1">
        <f>TablaVentas[[#This Row],[Costo Unitario]]*TablaVentas[[#This Row],[Cantidad]]</f>
        <v>551.43000000000006</v>
      </c>
      <c r="K905" s="1">
        <f>TablaVentas[[#This Row],[Total Venta]]-TablaVentas[[#This Row],[Total Costo]]</f>
        <v>260.97000000000003</v>
      </c>
    </row>
    <row r="906" spans="1:11" x14ac:dyDescent="0.25">
      <c r="A906" s="2">
        <v>45588</v>
      </c>
      <c r="B906" s="1" t="s">
        <v>21</v>
      </c>
      <c r="C906" s="1" t="s">
        <v>19</v>
      </c>
      <c r="D906" s="1" t="s">
        <v>17</v>
      </c>
      <c r="E906" s="1" t="s">
        <v>11</v>
      </c>
      <c r="F906" s="1">
        <v>3</v>
      </c>
      <c r="G906" s="1">
        <v>100.2</v>
      </c>
      <c r="H906" s="1">
        <v>53.37</v>
      </c>
      <c r="I906" s="1">
        <f>TablaVentas[[#This Row],[Precio Unitario]]*TablaVentas[[#This Row],[Cantidad]]</f>
        <v>300.60000000000002</v>
      </c>
      <c r="J906" s="1">
        <f>TablaVentas[[#This Row],[Costo Unitario]]*TablaVentas[[#This Row],[Cantidad]]</f>
        <v>160.10999999999999</v>
      </c>
      <c r="K906" s="1">
        <f>TablaVentas[[#This Row],[Total Venta]]-TablaVentas[[#This Row],[Total Costo]]</f>
        <v>140.49000000000004</v>
      </c>
    </row>
    <row r="907" spans="1:11" x14ac:dyDescent="0.25">
      <c r="A907" s="2">
        <v>45589</v>
      </c>
      <c r="B907" s="1" t="s">
        <v>12</v>
      </c>
      <c r="C907" s="1" t="s">
        <v>13</v>
      </c>
      <c r="D907" s="1" t="s">
        <v>24</v>
      </c>
      <c r="E907" s="1" t="s">
        <v>28</v>
      </c>
      <c r="F907" s="1">
        <v>1</v>
      </c>
      <c r="G907" s="1">
        <v>67.59</v>
      </c>
      <c r="H907" s="1">
        <v>40.700000000000003</v>
      </c>
      <c r="I907" s="1">
        <f>TablaVentas[[#This Row],[Precio Unitario]]*TablaVentas[[#This Row],[Cantidad]]</f>
        <v>67.59</v>
      </c>
      <c r="J907" s="1">
        <f>TablaVentas[[#This Row],[Costo Unitario]]*TablaVentas[[#This Row],[Cantidad]]</f>
        <v>40.700000000000003</v>
      </c>
      <c r="K907" s="1">
        <f>TablaVentas[[#This Row],[Total Venta]]-TablaVentas[[#This Row],[Total Costo]]</f>
        <v>26.89</v>
      </c>
    </row>
    <row r="908" spans="1:11" x14ac:dyDescent="0.25">
      <c r="A908" s="2">
        <v>45590</v>
      </c>
      <c r="B908" s="1" t="s">
        <v>34</v>
      </c>
      <c r="C908" s="1" t="s">
        <v>13</v>
      </c>
      <c r="D908" s="1" t="s">
        <v>10</v>
      </c>
      <c r="E908" s="1" t="s">
        <v>20</v>
      </c>
      <c r="F908" s="1">
        <v>8</v>
      </c>
      <c r="G908" s="1">
        <v>251.69</v>
      </c>
      <c r="H908" s="1">
        <v>173.27</v>
      </c>
      <c r="I908" s="1">
        <f>TablaVentas[[#This Row],[Precio Unitario]]*TablaVentas[[#This Row],[Cantidad]]</f>
        <v>2013.52</v>
      </c>
      <c r="J908" s="1">
        <f>TablaVentas[[#This Row],[Costo Unitario]]*TablaVentas[[#This Row],[Cantidad]]</f>
        <v>1386.16</v>
      </c>
      <c r="K908" s="1">
        <f>TablaVentas[[#This Row],[Total Venta]]-TablaVentas[[#This Row],[Total Costo]]</f>
        <v>627.3599999999999</v>
      </c>
    </row>
    <row r="909" spans="1:11" x14ac:dyDescent="0.25">
      <c r="A909" s="2">
        <v>45591</v>
      </c>
      <c r="B909" s="1" t="s">
        <v>23</v>
      </c>
      <c r="C909" s="1" t="s">
        <v>9</v>
      </c>
      <c r="D909" s="1" t="s">
        <v>24</v>
      </c>
      <c r="E909" s="1" t="s">
        <v>20</v>
      </c>
      <c r="F909" s="1">
        <v>2</v>
      </c>
      <c r="G909" s="1">
        <v>70</v>
      </c>
      <c r="H909" s="1">
        <v>43.34</v>
      </c>
      <c r="I909" s="1">
        <f>TablaVentas[[#This Row],[Precio Unitario]]*TablaVentas[[#This Row],[Cantidad]]</f>
        <v>140</v>
      </c>
      <c r="J909" s="1">
        <f>TablaVentas[[#This Row],[Costo Unitario]]*TablaVentas[[#This Row],[Cantidad]]</f>
        <v>86.68</v>
      </c>
      <c r="K909" s="1">
        <f>TablaVentas[[#This Row],[Total Venta]]-TablaVentas[[#This Row],[Total Costo]]</f>
        <v>53.319999999999993</v>
      </c>
    </row>
    <row r="910" spans="1:11" x14ac:dyDescent="0.25">
      <c r="A910" s="2">
        <v>45591</v>
      </c>
      <c r="B910" s="1" t="s">
        <v>26</v>
      </c>
      <c r="C910" s="1" t="s">
        <v>19</v>
      </c>
      <c r="D910" s="1" t="s">
        <v>31</v>
      </c>
      <c r="E910" s="1" t="s">
        <v>11</v>
      </c>
      <c r="F910" s="1">
        <v>9</v>
      </c>
      <c r="G910" s="1">
        <v>48.3</v>
      </c>
      <c r="H910" s="1">
        <v>25.37</v>
      </c>
      <c r="I910" s="1">
        <f>TablaVentas[[#This Row],[Precio Unitario]]*TablaVentas[[#This Row],[Cantidad]]</f>
        <v>434.7</v>
      </c>
      <c r="J910" s="1">
        <f>TablaVentas[[#This Row],[Costo Unitario]]*TablaVentas[[#This Row],[Cantidad]]</f>
        <v>228.33</v>
      </c>
      <c r="K910" s="1">
        <f>TablaVentas[[#This Row],[Total Venta]]-TablaVentas[[#This Row],[Total Costo]]</f>
        <v>206.36999999999998</v>
      </c>
    </row>
    <row r="911" spans="1:11" x14ac:dyDescent="0.25">
      <c r="A911" s="2">
        <v>45592</v>
      </c>
      <c r="B911" s="1" t="s">
        <v>26</v>
      </c>
      <c r="C911" s="1" t="s">
        <v>19</v>
      </c>
      <c r="D911" s="1" t="s">
        <v>25</v>
      </c>
      <c r="E911" s="1" t="s">
        <v>28</v>
      </c>
      <c r="F911" s="1">
        <v>10</v>
      </c>
      <c r="G911" s="1">
        <v>45.47</v>
      </c>
      <c r="H911" s="1">
        <v>25.39</v>
      </c>
      <c r="I911" s="1">
        <f>TablaVentas[[#This Row],[Precio Unitario]]*TablaVentas[[#This Row],[Cantidad]]</f>
        <v>454.7</v>
      </c>
      <c r="J911" s="1">
        <f>TablaVentas[[#This Row],[Costo Unitario]]*TablaVentas[[#This Row],[Cantidad]]</f>
        <v>253.9</v>
      </c>
      <c r="K911" s="1">
        <f>TablaVentas[[#This Row],[Total Venta]]-TablaVentas[[#This Row],[Total Costo]]</f>
        <v>200.79999999999998</v>
      </c>
    </row>
    <row r="912" spans="1:11" x14ac:dyDescent="0.25">
      <c r="A912" s="2">
        <v>45592</v>
      </c>
      <c r="B912" s="1" t="s">
        <v>16</v>
      </c>
      <c r="C912" s="1" t="s">
        <v>13</v>
      </c>
      <c r="D912" s="1" t="s">
        <v>24</v>
      </c>
      <c r="E912" s="1" t="s">
        <v>11</v>
      </c>
      <c r="F912" s="1">
        <v>10</v>
      </c>
      <c r="G912" s="1">
        <v>60.24</v>
      </c>
      <c r="H912" s="1">
        <v>33.99</v>
      </c>
      <c r="I912" s="1">
        <f>TablaVentas[[#This Row],[Precio Unitario]]*TablaVentas[[#This Row],[Cantidad]]</f>
        <v>602.4</v>
      </c>
      <c r="J912" s="1">
        <f>TablaVentas[[#This Row],[Costo Unitario]]*TablaVentas[[#This Row],[Cantidad]]</f>
        <v>339.90000000000003</v>
      </c>
      <c r="K912" s="1">
        <f>TablaVentas[[#This Row],[Total Venta]]-TablaVentas[[#This Row],[Total Costo]]</f>
        <v>262.49999999999994</v>
      </c>
    </row>
    <row r="913" spans="1:11" x14ac:dyDescent="0.25">
      <c r="A913" s="2">
        <v>45592</v>
      </c>
      <c r="B913" s="1" t="s">
        <v>26</v>
      </c>
      <c r="C913" s="1" t="s">
        <v>19</v>
      </c>
      <c r="D913" s="1" t="s">
        <v>33</v>
      </c>
      <c r="E913" s="1" t="s">
        <v>11</v>
      </c>
      <c r="F913" s="1">
        <v>6</v>
      </c>
      <c r="G913" s="1">
        <v>44.45</v>
      </c>
      <c r="H913" s="1">
        <v>24.23</v>
      </c>
      <c r="I913" s="1">
        <f>TablaVentas[[#This Row],[Precio Unitario]]*TablaVentas[[#This Row],[Cantidad]]</f>
        <v>266.70000000000005</v>
      </c>
      <c r="J913" s="1">
        <f>TablaVentas[[#This Row],[Costo Unitario]]*TablaVentas[[#This Row],[Cantidad]]</f>
        <v>145.38</v>
      </c>
      <c r="K913" s="1">
        <f>TablaVentas[[#This Row],[Total Venta]]-TablaVentas[[#This Row],[Total Costo]]</f>
        <v>121.32000000000005</v>
      </c>
    </row>
    <row r="914" spans="1:11" x14ac:dyDescent="0.25">
      <c r="A914" s="2">
        <v>45593</v>
      </c>
      <c r="B914" s="1" t="s">
        <v>29</v>
      </c>
      <c r="C914" s="1" t="s">
        <v>30</v>
      </c>
      <c r="D914" s="1" t="s">
        <v>14</v>
      </c>
      <c r="E914" s="1" t="s">
        <v>20</v>
      </c>
      <c r="F914" s="1">
        <v>8</v>
      </c>
      <c r="G914" s="1">
        <v>431.46</v>
      </c>
      <c r="H914" s="1">
        <v>326.36</v>
      </c>
      <c r="I914" s="1">
        <f>TablaVentas[[#This Row],[Precio Unitario]]*TablaVentas[[#This Row],[Cantidad]]</f>
        <v>3451.68</v>
      </c>
      <c r="J914" s="1">
        <f>TablaVentas[[#This Row],[Costo Unitario]]*TablaVentas[[#This Row],[Cantidad]]</f>
        <v>2610.88</v>
      </c>
      <c r="K914" s="1">
        <f>TablaVentas[[#This Row],[Total Venta]]-TablaVentas[[#This Row],[Total Costo]]</f>
        <v>840.79999999999973</v>
      </c>
    </row>
    <row r="915" spans="1:11" x14ac:dyDescent="0.25">
      <c r="A915" s="2">
        <v>45596</v>
      </c>
      <c r="B915" s="1" t="s">
        <v>18</v>
      </c>
      <c r="C915" s="1" t="s">
        <v>19</v>
      </c>
      <c r="D915" s="1" t="s">
        <v>14</v>
      </c>
      <c r="E915" s="1" t="s">
        <v>11</v>
      </c>
      <c r="F915" s="1">
        <v>4</v>
      </c>
      <c r="G915" s="1">
        <v>1329.18</v>
      </c>
      <c r="H915" s="1">
        <v>903.72</v>
      </c>
      <c r="I915" s="1">
        <f>TablaVentas[[#This Row],[Precio Unitario]]*TablaVentas[[#This Row],[Cantidad]]</f>
        <v>5316.72</v>
      </c>
      <c r="J915" s="1">
        <f>TablaVentas[[#This Row],[Costo Unitario]]*TablaVentas[[#This Row],[Cantidad]]</f>
        <v>3614.88</v>
      </c>
      <c r="K915" s="1">
        <f>TablaVentas[[#This Row],[Total Venta]]-TablaVentas[[#This Row],[Total Costo]]</f>
        <v>1701.8400000000001</v>
      </c>
    </row>
    <row r="916" spans="1:11" x14ac:dyDescent="0.25">
      <c r="A916" s="2">
        <v>45597</v>
      </c>
      <c r="B916" s="1" t="s">
        <v>34</v>
      </c>
      <c r="C916" s="1" t="s">
        <v>13</v>
      </c>
      <c r="D916" s="1" t="s">
        <v>10</v>
      </c>
      <c r="E916" s="1" t="s">
        <v>11</v>
      </c>
      <c r="F916" s="1">
        <v>4</v>
      </c>
      <c r="G916" s="1">
        <v>266.64999999999998</v>
      </c>
      <c r="H916" s="1">
        <v>178.77</v>
      </c>
      <c r="I916" s="1">
        <f>TablaVentas[[#This Row],[Precio Unitario]]*TablaVentas[[#This Row],[Cantidad]]</f>
        <v>1066.5999999999999</v>
      </c>
      <c r="J916" s="1">
        <f>TablaVentas[[#This Row],[Costo Unitario]]*TablaVentas[[#This Row],[Cantidad]]</f>
        <v>715.08</v>
      </c>
      <c r="K916" s="1">
        <f>TablaVentas[[#This Row],[Total Venta]]-TablaVentas[[#This Row],[Total Costo]]</f>
        <v>351.51999999999987</v>
      </c>
    </row>
    <row r="917" spans="1:11" x14ac:dyDescent="0.25">
      <c r="A917" s="2">
        <v>45599</v>
      </c>
      <c r="B917" s="1" t="s">
        <v>23</v>
      </c>
      <c r="C917" s="1" t="s">
        <v>9</v>
      </c>
      <c r="D917" s="1" t="s">
        <v>24</v>
      </c>
      <c r="E917" s="1" t="s">
        <v>15</v>
      </c>
      <c r="F917" s="1">
        <v>3</v>
      </c>
      <c r="G917" s="1">
        <v>83.06</v>
      </c>
      <c r="H917" s="1">
        <v>49.18</v>
      </c>
      <c r="I917" s="1">
        <f>TablaVentas[[#This Row],[Precio Unitario]]*TablaVentas[[#This Row],[Cantidad]]</f>
        <v>249.18</v>
      </c>
      <c r="J917" s="1">
        <f>TablaVentas[[#This Row],[Costo Unitario]]*TablaVentas[[#This Row],[Cantidad]]</f>
        <v>147.54</v>
      </c>
      <c r="K917" s="1">
        <f>TablaVentas[[#This Row],[Total Venta]]-TablaVentas[[#This Row],[Total Costo]]</f>
        <v>101.64000000000001</v>
      </c>
    </row>
    <row r="918" spans="1:11" x14ac:dyDescent="0.25">
      <c r="A918" s="2">
        <v>45599</v>
      </c>
      <c r="B918" s="1" t="s">
        <v>16</v>
      </c>
      <c r="C918" s="1" t="s">
        <v>13</v>
      </c>
      <c r="D918" s="1" t="s">
        <v>33</v>
      </c>
      <c r="E918" s="1" t="s">
        <v>28</v>
      </c>
      <c r="F918" s="1">
        <v>5</v>
      </c>
      <c r="G918" s="1">
        <v>53.58</v>
      </c>
      <c r="H918" s="1">
        <v>35.270000000000003</v>
      </c>
      <c r="I918" s="1">
        <f>TablaVentas[[#This Row],[Precio Unitario]]*TablaVentas[[#This Row],[Cantidad]]</f>
        <v>267.89999999999998</v>
      </c>
      <c r="J918" s="1">
        <f>TablaVentas[[#This Row],[Costo Unitario]]*TablaVentas[[#This Row],[Cantidad]]</f>
        <v>176.35000000000002</v>
      </c>
      <c r="K918" s="1">
        <f>TablaVentas[[#This Row],[Total Venta]]-TablaVentas[[#This Row],[Total Costo]]</f>
        <v>91.549999999999955</v>
      </c>
    </row>
    <row r="919" spans="1:11" x14ac:dyDescent="0.25">
      <c r="A919" s="2">
        <v>45600</v>
      </c>
      <c r="B919" s="1" t="s">
        <v>18</v>
      </c>
      <c r="C919" s="1" t="s">
        <v>19</v>
      </c>
      <c r="D919" s="1" t="s">
        <v>17</v>
      </c>
      <c r="E919" s="1" t="s">
        <v>11</v>
      </c>
      <c r="F919" s="1">
        <v>10</v>
      </c>
      <c r="G919" s="1">
        <v>1110.06</v>
      </c>
      <c r="H919" s="1">
        <v>905.19</v>
      </c>
      <c r="I919" s="1">
        <f>TablaVentas[[#This Row],[Precio Unitario]]*TablaVentas[[#This Row],[Cantidad]]</f>
        <v>11100.599999999999</v>
      </c>
      <c r="J919" s="1">
        <f>TablaVentas[[#This Row],[Costo Unitario]]*TablaVentas[[#This Row],[Cantidad]]</f>
        <v>9051.9000000000015</v>
      </c>
      <c r="K919" s="1">
        <f>TablaVentas[[#This Row],[Total Venta]]-TablaVentas[[#This Row],[Total Costo]]</f>
        <v>2048.6999999999971</v>
      </c>
    </row>
    <row r="920" spans="1:11" x14ac:dyDescent="0.25">
      <c r="A920" s="2">
        <v>45601</v>
      </c>
      <c r="B920" s="1" t="s">
        <v>18</v>
      </c>
      <c r="C920" s="1" t="s">
        <v>19</v>
      </c>
      <c r="D920" s="1" t="s">
        <v>17</v>
      </c>
      <c r="E920" s="1" t="s">
        <v>11</v>
      </c>
      <c r="F920" s="1">
        <v>3</v>
      </c>
      <c r="G920" s="1">
        <v>1038.95</v>
      </c>
      <c r="H920" s="1">
        <v>918.52</v>
      </c>
      <c r="I920" s="1">
        <f>TablaVentas[[#This Row],[Precio Unitario]]*TablaVentas[[#This Row],[Cantidad]]</f>
        <v>3116.8500000000004</v>
      </c>
      <c r="J920" s="1">
        <f>TablaVentas[[#This Row],[Costo Unitario]]*TablaVentas[[#This Row],[Cantidad]]</f>
        <v>2755.56</v>
      </c>
      <c r="K920" s="1">
        <f>TablaVentas[[#This Row],[Total Venta]]-TablaVentas[[#This Row],[Total Costo]]</f>
        <v>361.29000000000042</v>
      </c>
    </row>
    <row r="921" spans="1:11" x14ac:dyDescent="0.25">
      <c r="A921" s="2">
        <v>45601</v>
      </c>
      <c r="B921" s="1" t="s">
        <v>18</v>
      </c>
      <c r="C921" s="1" t="s">
        <v>19</v>
      </c>
      <c r="D921" s="1" t="s">
        <v>14</v>
      </c>
      <c r="E921" s="1" t="s">
        <v>22</v>
      </c>
      <c r="F921" s="1">
        <v>7</v>
      </c>
      <c r="G921" s="1">
        <v>1121.31</v>
      </c>
      <c r="H921" s="1">
        <v>813.68</v>
      </c>
      <c r="I921" s="1">
        <f>TablaVentas[[#This Row],[Precio Unitario]]*TablaVentas[[#This Row],[Cantidad]]</f>
        <v>7849.17</v>
      </c>
      <c r="J921" s="1">
        <f>TablaVentas[[#This Row],[Costo Unitario]]*TablaVentas[[#This Row],[Cantidad]]</f>
        <v>5695.7599999999993</v>
      </c>
      <c r="K921" s="1">
        <f>TablaVentas[[#This Row],[Total Venta]]-TablaVentas[[#This Row],[Total Costo]]</f>
        <v>2153.4100000000008</v>
      </c>
    </row>
    <row r="922" spans="1:11" x14ac:dyDescent="0.25">
      <c r="A922" s="2">
        <v>45602</v>
      </c>
      <c r="B922" s="1" t="s">
        <v>23</v>
      </c>
      <c r="C922" s="1" t="s">
        <v>9</v>
      </c>
      <c r="D922" s="1" t="s">
        <v>25</v>
      </c>
      <c r="E922" s="1" t="s">
        <v>22</v>
      </c>
      <c r="F922" s="1">
        <v>10</v>
      </c>
      <c r="G922" s="1">
        <v>67.02</v>
      </c>
      <c r="H922" s="1">
        <v>48.83</v>
      </c>
      <c r="I922" s="1">
        <f>TablaVentas[[#This Row],[Precio Unitario]]*TablaVentas[[#This Row],[Cantidad]]</f>
        <v>670.19999999999993</v>
      </c>
      <c r="J922" s="1">
        <f>TablaVentas[[#This Row],[Costo Unitario]]*TablaVentas[[#This Row],[Cantidad]]</f>
        <v>488.29999999999995</v>
      </c>
      <c r="K922" s="1">
        <f>TablaVentas[[#This Row],[Total Venta]]-TablaVentas[[#This Row],[Total Costo]]</f>
        <v>181.89999999999998</v>
      </c>
    </row>
    <row r="923" spans="1:11" x14ac:dyDescent="0.25">
      <c r="A923" s="2">
        <v>45604</v>
      </c>
      <c r="B923" s="1" t="s">
        <v>21</v>
      </c>
      <c r="C923" s="1" t="s">
        <v>19</v>
      </c>
      <c r="D923" s="1" t="s">
        <v>14</v>
      </c>
      <c r="E923" s="1" t="s">
        <v>22</v>
      </c>
      <c r="F923" s="1">
        <v>4</v>
      </c>
      <c r="G923" s="1">
        <v>78.05</v>
      </c>
      <c r="H923" s="1">
        <v>53.74</v>
      </c>
      <c r="I923" s="1">
        <f>TablaVentas[[#This Row],[Precio Unitario]]*TablaVentas[[#This Row],[Cantidad]]</f>
        <v>312.2</v>
      </c>
      <c r="J923" s="1">
        <f>TablaVentas[[#This Row],[Costo Unitario]]*TablaVentas[[#This Row],[Cantidad]]</f>
        <v>214.96</v>
      </c>
      <c r="K923" s="1">
        <f>TablaVentas[[#This Row],[Total Venta]]-TablaVentas[[#This Row],[Total Costo]]</f>
        <v>97.239999999999981</v>
      </c>
    </row>
    <row r="924" spans="1:11" x14ac:dyDescent="0.25">
      <c r="A924" s="2">
        <v>45606</v>
      </c>
      <c r="B924" s="1" t="s">
        <v>21</v>
      </c>
      <c r="C924" s="1" t="s">
        <v>19</v>
      </c>
      <c r="D924" s="1" t="s">
        <v>24</v>
      </c>
      <c r="E924" s="1" t="s">
        <v>28</v>
      </c>
      <c r="F924" s="1">
        <v>5</v>
      </c>
      <c r="G924" s="1">
        <v>102.25</v>
      </c>
      <c r="H924" s="1">
        <v>52.55</v>
      </c>
      <c r="I924" s="1">
        <f>TablaVentas[[#This Row],[Precio Unitario]]*TablaVentas[[#This Row],[Cantidad]]</f>
        <v>511.25</v>
      </c>
      <c r="J924" s="1">
        <f>TablaVentas[[#This Row],[Costo Unitario]]*TablaVentas[[#This Row],[Cantidad]]</f>
        <v>262.75</v>
      </c>
      <c r="K924" s="1">
        <f>TablaVentas[[#This Row],[Total Venta]]-TablaVentas[[#This Row],[Total Costo]]</f>
        <v>248.5</v>
      </c>
    </row>
    <row r="925" spans="1:11" x14ac:dyDescent="0.25">
      <c r="A925" s="2">
        <v>45608</v>
      </c>
      <c r="B925" s="1" t="s">
        <v>29</v>
      </c>
      <c r="C925" s="1" t="s">
        <v>30</v>
      </c>
      <c r="D925" s="1" t="s">
        <v>24</v>
      </c>
      <c r="E925" s="1" t="s">
        <v>15</v>
      </c>
      <c r="F925" s="1">
        <v>5</v>
      </c>
      <c r="G925" s="1">
        <v>433.22</v>
      </c>
      <c r="H925" s="1">
        <v>316.07</v>
      </c>
      <c r="I925" s="1">
        <f>TablaVentas[[#This Row],[Precio Unitario]]*TablaVentas[[#This Row],[Cantidad]]</f>
        <v>2166.1000000000004</v>
      </c>
      <c r="J925" s="1">
        <f>TablaVentas[[#This Row],[Costo Unitario]]*TablaVentas[[#This Row],[Cantidad]]</f>
        <v>1580.35</v>
      </c>
      <c r="K925" s="1">
        <f>TablaVentas[[#This Row],[Total Venta]]-TablaVentas[[#This Row],[Total Costo]]</f>
        <v>585.75000000000045</v>
      </c>
    </row>
    <row r="926" spans="1:11" x14ac:dyDescent="0.25">
      <c r="A926" s="2">
        <v>45608</v>
      </c>
      <c r="B926" s="1" t="s">
        <v>26</v>
      </c>
      <c r="C926" s="1" t="s">
        <v>19</v>
      </c>
      <c r="D926" s="1" t="s">
        <v>27</v>
      </c>
      <c r="E926" s="1" t="s">
        <v>20</v>
      </c>
      <c r="F926" s="1">
        <v>4</v>
      </c>
      <c r="G926" s="1">
        <v>41.05</v>
      </c>
      <c r="H926" s="1">
        <v>25.5</v>
      </c>
      <c r="I926" s="1">
        <f>TablaVentas[[#This Row],[Precio Unitario]]*TablaVentas[[#This Row],[Cantidad]]</f>
        <v>164.2</v>
      </c>
      <c r="J926" s="1">
        <f>TablaVentas[[#This Row],[Costo Unitario]]*TablaVentas[[#This Row],[Cantidad]]</f>
        <v>102</v>
      </c>
      <c r="K926" s="1">
        <f>TablaVentas[[#This Row],[Total Venta]]-TablaVentas[[#This Row],[Total Costo]]</f>
        <v>62.199999999999989</v>
      </c>
    </row>
    <row r="927" spans="1:11" x14ac:dyDescent="0.25">
      <c r="A927" s="2">
        <v>45608</v>
      </c>
      <c r="B927" s="1" t="s">
        <v>34</v>
      </c>
      <c r="C927" s="1" t="s">
        <v>13</v>
      </c>
      <c r="D927" s="1" t="s">
        <v>14</v>
      </c>
      <c r="E927" s="1" t="s">
        <v>11</v>
      </c>
      <c r="F927" s="1">
        <v>4</v>
      </c>
      <c r="G927" s="1">
        <v>281.31</v>
      </c>
      <c r="H927" s="1">
        <v>200.17</v>
      </c>
      <c r="I927" s="1">
        <f>TablaVentas[[#This Row],[Precio Unitario]]*TablaVentas[[#This Row],[Cantidad]]</f>
        <v>1125.24</v>
      </c>
      <c r="J927" s="1">
        <f>TablaVentas[[#This Row],[Costo Unitario]]*TablaVentas[[#This Row],[Cantidad]]</f>
        <v>800.68</v>
      </c>
      <c r="K927" s="1">
        <f>TablaVentas[[#This Row],[Total Venta]]-TablaVentas[[#This Row],[Total Costo]]</f>
        <v>324.56000000000006</v>
      </c>
    </row>
    <row r="928" spans="1:11" x14ac:dyDescent="0.25">
      <c r="A928" s="2">
        <v>45609</v>
      </c>
      <c r="B928" s="1" t="s">
        <v>29</v>
      </c>
      <c r="C928" s="1" t="s">
        <v>30</v>
      </c>
      <c r="D928" s="1" t="s">
        <v>17</v>
      </c>
      <c r="E928" s="1" t="s">
        <v>11</v>
      </c>
      <c r="F928" s="1">
        <v>5</v>
      </c>
      <c r="G928" s="1">
        <v>423.6</v>
      </c>
      <c r="H928" s="1">
        <v>304.81</v>
      </c>
      <c r="I928" s="1">
        <f>TablaVentas[[#This Row],[Precio Unitario]]*TablaVentas[[#This Row],[Cantidad]]</f>
        <v>2118</v>
      </c>
      <c r="J928" s="1">
        <f>TablaVentas[[#This Row],[Costo Unitario]]*TablaVentas[[#This Row],[Cantidad]]</f>
        <v>1524.05</v>
      </c>
      <c r="K928" s="1">
        <f>TablaVentas[[#This Row],[Total Venta]]-TablaVentas[[#This Row],[Total Costo]]</f>
        <v>593.95000000000005</v>
      </c>
    </row>
    <row r="929" spans="1:11" x14ac:dyDescent="0.25">
      <c r="A929" s="2">
        <v>45609</v>
      </c>
      <c r="B929" s="1" t="s">
        <v>12</v>
      </c>
      <c r="C929" s="1" t="s">
        <v>13</v>
      </c>
      <c r="D929" s="1" t="s">
        <v>33</v>
      </c>
      <c r="E929" s="1" t="s">
        <v>20</v>
      </c>
      <c r="F929" s="1">
        <v>6</v>
      </c>
      <c r="G929" s="1">
        <v>56.12</v>
      </c>
      <c r="H929" s="1">
        <v>38.65</v>
      </c>
      <c r="I929" s="1">
        <f>TablaVentas[[#This Row],[Precio Unitario]]*TablaVentas[[#This Row],[Cantidad]]</f>
        <v>336.71999999999997</v>
      </c>
      <c r="J929" s="1">
        <f>TablaVentas[[#This Row],[Costo Unitario]]*TablaVentas[[#This Row],[Cantidad]]</f>
        <v>231.89999999999998</v>
      </c>
      <c r="K929" s="1">
        <f>TablaVentas[[#This Row],[Total Venta]]-TablaVentas[[#This Row],[Total Costo]]</f>
        <v>104.82</v>
      </c>
    </row>
    <row r="930" spans="1:11" x14ac:dyDescent="0.25">
      <c r="A930" s="2">
        <v>45610</v>
      </c>
      <c r="B930" s="1" t="s">
        <v>8</v>
      </c>
      <c r="C930" s="1" t="s">
        <v>9</v>
      </c>
      <c r="D930" s="1" t="s">
        <v>17</v>
      </c>
      <c r="E930" s="1" t="s">
        <v>28</v>
      </c>
      <c r="F930" s="1">
        <v>5</v>
      </c>
      <c r="G930" s="1">
        <v>684.35</v>
      </c>
      <c r="H930" s="1">
        <v>448.85</v>
      </c>
      <c r="I930" s="1">
        <f>TablaVentas[[#This Row],[Precio Unitario]]*TablaVentas[[#This Row],[Cantidad]]</f>
        <v>3421.75</v>
      </c>
      <c r="J930" s="1">
        <f>TablaVentas[[#This Row],[Costo Unitario]]*TablaVentas[[#This Row],[Cantidad]]</f>
        <v>2244.25</v>
      </c>
      <c r="K930" s="1">
        <f>TablaVentas[[#This Row],[Total Venta]]-TablaVentas[[#This Row],[Total Costo]]</f>
        <v>1177.5</v>
      </c>
    </row>
    <row r="931" spans="1:11" x14ac:dyDescent="0.25">
      <c r="A931" s="2">
        <v>45610</v>
      </c>
      <c r="B931" s="1" t="s">
        <v>29</v>
      </c>
      <c r="C931" s="1" t="s">
        <v>30</v>
      </c>
      <c r="D931" s="1" t="s">
        <v>10</v>
      </c>
      <c r="E931" s="1" t="s">
        <v>11</v>
      </c>
      <c r="F931" s="1">
        <v>1</v>
      </c>
      <c r="G931" s="1">
        <v>488.85</v>
      </c>
      <c r="H931" s="1">
        <v>330.35</v>
      </c>
      <c r="I931" s="1">
        <f>TablaVentas[[#This Row],[Precio Unitario]]*TablaVentas[[#This Row],[Cantidad]]</f>
        <v>488.85</v>
      </c>
      <c r="J931" s="1">
        <f>TablaVentas[[#This Row],[Costo Unitario]]*TablaVentas[[#This Row],[Cantidad]]</f>
        <v>330.35</v>
      </c>
      <c r="K931" s="1">
        <f>TablaVentas[[#This Row],[Total Venta]]-TablaVentas[[#This Row],[Total Costo]]</f>
        <v>158.5</v>
      </c>
    </row>
    <row r="932" spans="1:11" x14ac:dyDescent="0.25">
      <c r="A932" s="2">
        <v>45612</v>
      </c>
      <c r="B932" s="1" t="s">
        <v>29</v>
      </c>
      <c r="C932" s="1" t="s">
        <v>30</v>
      </c>
      <c r="D932" s="1" t="s">
        <v>33</v>
      </c>
      <c r="E932" s="1" t="s">
        <v>28</v>
      </c>
      <c r="F932" s="1">
        <v>7</v>
      </c>
      <c r="G932" s="1">
        <v>472.33</v>
      </c>
      <c r="H932" s="1">
        <v>309.3</v>
      </c>
      <c r="I932" s="1">
        <f>TablaVentas[[#This Row],[Precio Unitario]]*TablaVentas[[#This Row],[Cantidad]]</f>
        <v>3306.31</v>
      </c>
      <c r="J932" s="1">
        <f>TablaVentas[[#This Row],[Costo Unitario]]*TablaVentas[[#This Row],[Cantidad]]</f>
        <v>2165.1</v>
      </c>
      <c r="K932" s="1">
        <f>TablaVentas[[#This Row],[Total Venta]]-TablaVentas[[#This Row],[Total Costo]]</f>
        <v>1141.21</v>
      </c>
    </row>
    <row r="933" spans="1:11" x14ac:dyDescent="0.25">
      <c r="A933" s="2">
        <v>45613</v>
      </c>
      <c r="B933" s="1" t="s">
        <v>26</v>
      </c>
      <c r="C933" s="1" t="s">
        <v>19</v>
      </c>
      <c r="D933" s="1" t="s">
        <v>25</v>
      </c>
      <c r="E933" s="1" t="s">
        <v>22</v>
      </c>
      <c r="F933" s="1">
        <v>4</v>
      </c>
      <c r="G933" s="1">
        <v>40.06</v>
      </c>
      <c r="H933" s="1">
        <v>22.5</v>
      </c>
      <c r="I933" s="1">
        <f>TablaVentas[[#This Row],[Precio Unitario]]*TablaVentas[[#This Row],[Cantidad]]</f>
        <v>160.24</v>
      </c>
      <c r="J933" s="1">
        <f>TablaVentas[[#This Row],[Costo Unitario]]*TablaVentas[[#This Row],[Cantidad]]</f>
        <v>90</v>
      </c>
      <c r="K933" s="1">
        <f>TablaVentas[[#This Row],[Total Venta]]-TablaVentas[[#This Row],[Total Costo]]</f>
        <v>70.240000000000009</v>
      </c>
    </row>
    <row r="934" spans="1:11" x14ac:dyDescent="0.25">
      <c r="A934" s="2">
        <v>45614</v>
      </c>
      <c r="B934" s="1" t="s">
        <v>29</v>
      </c>
      <c r="C934" s="1" t="s">
        <v>30</v>
      </c>
      <c r="D934" s="1" t="s">
        <v>14</v>
      </c>
      <c r="E934" s="1" t="s">
        <v>11</v>
      </c>
      <c r="F934" s="1">
        <v>3</v>
      </c>
      <c r="G934" s="1">
        <v>463.86</v>
      </c>
      <c r="H934" s="1">
        <v>313.17</v>
      </c>
      <c r="I934" s="1">
        <f>TablaVentas[[#This Row],[Precio Unitario]]*TablaVentas[[#This Row],[Cantidad]]</f>
        <v>1391.58</v>
      </c>
      <c r="J934" s="1">
        <f>TablaVentas[[#This Row],[Costo Unitario]]*TablaVentas[[#This Row],[Cantidad]]</f>
        <v>939.51</v>
      </c>
      <c r="K934" s="1">
        <f>TablaVentas[[#This Row],[Total Venta]]-TablaVentas[[#This Row],[Total Costo]]</f>
        <v>452.06999999999994</v>
      </c>
    </row>
    <row r="935" spans="1:11" x14ac:dyDescent="0.25">
      <c r="A935" s="2">
        <v>45614</v>
      </c>
      <c r="B935" s="1" t="s">
        <v>26</v>
      </c>
      <c r="C935" s="1" t="s">
        <v>19</v>
      </c>
      <c r="D935" s="1" t="s">
        <v>25</v>
      </c>
      <c r="E935" s="1" t="s">
        <v>20</v>
      </c>
      <c r="F935" s="1">
        <v>2</v>
      </c>
      <c r="G935" s="1">
        <v>45.43</v>
      </c>
      <c r="H935" s="1">
        <v>25.1</v>
      </c>
      <c r="I935" s="1">
        <f>TablaVentas[[#This Row],[Precio Unitario]]*TablaVentas[[#This Row],[Cantidad]]</f>
        <v>90.86</v>
      </c>
      <c r="J935" s="1">
        <f>TablaVentas[[#This Row],[Costo Unitario]]*TablaVentas[[#This Row],[Cantidad]]</f>
        <v>50.2</v>
      </c>
      <c r="K935" s="1">
        <f>TablaVentas[[#This Row],[Total Venta]]-TablaVentas[[#This Row],[Total Costo]]</f>
        <v>40.659999999999997</v>
      </c>
    </row>
    <row r="936" spans="1:11" x14ac:dyDescent="0.25">
      <c r="A936" s="2">
        <v>45615</v>
      </c>
      <c r="B936" s="1" t="s">
        <v>26</v>
      </c>
      <c r="C936" s="1" t="s">
        <v>19</v>
      </c>
      <c r="D936" s="1" t="s">
        <v>33</v>
      </c>
      <c r="E936" s="1" t="s">
        <v>28</v>
      </c>
      <c r="F936" s="1">
        <v>3</v>
      </c>
      <c r="G936" s="1">
        <v>51.1</v>
      </c>
      <c r="H936" s="1">
        <v>27.26</v>
      </c>
      <c r="I936" s="1">
        <f>TablaVentas[[#This Row],[Precio Unitario]]*TablaVentas[[#This Row],[Cantidad]]</f>
        <v>153.30000000000001</v>
      </c>
      <c r="J936" s="1">
        <f>TablaVentas[[#This Row],[Costo Unitario]]*TablaVentas[[#This Row],[Cantidad]]</f>
        <v>81.78</v>
      </c>
      <c r="K936" s="1">
        <f>TablaVentas[[#This Row],[Total Venta]]-TablaVentas[[#This Row],[Total Costo]]</f>
        <v>71.52000000000001</v>
      </c>
    </row>
    <row r="937" spans="1:11" x14ac:dyDescent="0.25">
      <c r="A937" s="2">
        <v>45615</v>
      </c>
      <c r="B937" s="1" t="s">
        <v>29</v>
      </c>
      <c r="C937" s="1" t="s">
        <v>30</v>
      </c>
      <c r="D937" s="1" t="s">
        <v>31</v>
      </c>
      <c r="E937" s="1" t="s">
        <v>22</v>
      </c>
      <c r="F937" s="1">
        <v>9</v>
      </c>
      <c r="G937" s="1">
        <v>485.47</v>
      </c>
      <c r="H937" s="1">
        <v>328.29</v>
      </c>
      <c r="I937" s="1">
        <f>TablaVentas[[#This Row],[Precio Unitario]]*TablaVentas[[#This Row],[Cantidad]]</f>
        <v>4369.2300000000005</v>
      </c>
      <c r="J937" s="1">
        <f>TablaVentas[[#This Row],[Costo Unitario]]*TablaVentas[[#This Row],[Cantidad]]</f>
        <v>2954.61</v>
      </c>
      <c r="K937" s="1">
        <f>TablaVentas[[#This Row],[Total Venta]]-TablaVentas[[#This Row],[Total Costo]]</f>
        <v>1414.6200000000003</v>
      </c>
    </row>
    <row r="938" spans="1:11" x14ac:dyDescent="0.25">
      <c r="A938" s="2">
        <v>45616</v>
      </c>
      <c r="B938" s="1" t="s">
        <v>18</v>
      </c>
      <c r="C938" s="1" t="s">
        <v>19</v>
      </c>
      <c r="D938" s="1" t="s">
        <v>24</v>
      </c>
      <c r="E938" s="1" t="s">
        <v>15</v>
      </c>
      <c r="F938" s="1">
        <v>3</v>
      </c>
      <c r="G938" s="1">
        <v>1241.5899999999999</v>
      </c>
      <c r="H938" s="1">
        <v>797.53</v>
      </c>
      <c r="I938" s="1">
        <f>TablaVentas[[#This Row],[Precio Unitario]]*TablaVentas[[#This Row],[Cantidad]]</f>
        <v>3724.7699999999995</v>
      </c>
      <c r="J938" s="1">
        <f>TablaVentas[[#This Row],[Costo Unitario]]*TablaVentas[[#This Row],[Cantidad]]</f>
        <v>2392.59</v>
      </c>
      <c r="K938" s="1">
        <f>TablaVentas[[#This Row],[Total Venta]]-TablaVentas[[#This Row],[Total Costo]]</f>
        <v>1332.1799999999994</v>
      </c>
    </row>
    <row r="939" spans="1:11" x14ac:dyDescent="0.25">
      <c r="A939" s="2">
        <v>45616</v>
      </c>
      <c r="B939" s="1" t="s">
        <v>34</v>
      </c>
      <c r="C939" s="1" t="s">
        <v>13</v>
      </c>
      <c r="D939" s="1" t="s">
        <v>10</v>
      </c>
      <c r="E939" s="1" t="s">
        <v>28</v>
      </c>
      <c r="F939" s="1">
        <v>3</v>
      </c>
      <c r="G939" s="1">
        <v>253.12</v>
      </c>
      <c r="H939" s="1">
        <v>205.34</v>
      </c>
      <c r="I939" s="1">
        <f>TablaVentas[[#This Row],[Precio Unitario]]*TablaVentas[[#This Row],[Cantidad]]</f>
        <v>759.36</v>
      </c>
      <c r="J939" s="1">
        <f>TablaVentas[[#This Row],[Costo Unitario]]*TablaVentas[[#This Row],[Cantidad]]</f>
        <v>616.02</v>
      </c>
      <c r="K939" s="1">
        <f>TablaVentas[[#This Row],[Total Venta]]-TablaVentas[[#This Row],[Total Costo]]</f>
        <v>143.34000000000003</v>
      </c>
    </row>
    <row r="940" spans="1:11" x14ac:dyDescent="0.25">
      <c r="A940" s="2">
        <v>45618</v>
      </c>
      <c r="B940" s="1" t="s">
        <v>23</v>
      </c>
      <c r="C940" s="1" t="s">
        <v>9</v>
      </c>
      <c r="D940" s="1" t="s">
        <v>31</v>
      </c>
      <c r="E940" s="1" t="s">
        <v>22</v>
      </c>
      <c r="F940" s="1">
        <v>8</v>
      </c>
      <c r="G940" s="1">
        <v>75.89</v>
      </c>
      <c r="H940" s="1">
        <v>43.75</v>
      </c>
      <c r="I940" s="1">
        <f>TablaVentas[[#This Row],[Precio Unitario]]*TablaVentas[[#This Row],[Cantidad]]</f>
        <v>607.12</v>
      </c>
      <c r="J940" s="1">
        <f>TablaVentas[[#This Row],[Costo Unitario]]*TablaVentas[[#This Row],[Cantidad]]</f>
        <v>350</v>
      </c>
      <c r="K940" s="1">
        <f>TablaVentas[[#This Row],[Total Venta]]-TablaVentas[[#This Row],[Total Costo]]</f>
        <v>257.12</v>
      </c>
    </row>
    <row r="941" spans="1:11" x14ac:dyDescent="0.25">
      <c r="A941" s="2">
        <v>45618</v>
      </c>
      <c r="B941" s="1" t="s">
        <v>26</v>
      </c>
      <c r="C941" s="1" t="s">
        <v>19</v>
      </c>
      <c r="D941" s="1" t="s">
        <v>10</v>
      </c>
      <c r="E941" s="1" t="s">
        <v>22</v>
      </c>
      <c r="F941" s="1">
        <v>8</v>
      </c>
      <c r="G941" s="1">
        <v>40.590000000000003</v>
      </c>
      <c r="H941" s="1">
        <v>24.26</v>
      </c>
      <c r="I941" s="1">
        <f>TablaVentas[[#This Row],[Precio Unitario]]*TablaVentas[[#This Row],[Cantidad]]</f>
        <v>324.72000000000003</v>
      </c>
      <c r="J941" s="1">
        <f>TablaVentas[[#This Row],[Costo Unitario]]*TablaVentas[[#This Row],[Cantidad]]</f>
        <v>194.08</v>
      </c>
      <c r="K941" s="1">
        <f>TablaVentas[[#This Row],[Total Venta]]-TablaVentas[[#This Row],[Total Costo]]</f>
        <v>130.64000000000001</v>
      </c>
    </row>
    <row r="942" spans="1:11" x14ac:dyDescent="0.25">
      <c r="A942" s="2">
        <v>45618</v>
      </c>
      <c r="B942" s="1" t="s">
        <v>18</v>
      </c>
      <c r="C942" s="1" t="s">
        <v>19</v>
      </c>
      <c r="D942" s="1" t="s">
        <v>33</v>
      </c>
      <c r="E942" s="1" t="s">
        <v>11</v>
      </c>
      <c r="F942" s="1">
        <v>5</v>
      </c>
      <c r="G942" s="1">
        <v>1323.82</v>
      </c>
      <c r="H942" s="1">
        <v>872</v>
      </c>
      <c r="I942" s="1">
        <f>TablaVentas[[#This Row],[Precio Unitario]]*TablaVentas[[#This Row],[Cantidad]]</f>
        <v>6619.0999999999995</v>
      </c>
      <c r="J942" s="1">
        <f>TablaVentas[[#This Row],[Costo Unitario]]*TablaVentas[[#This Row],[Cantidad]]</f>
        <v>4360</v>
      </c>
      <c r="K942" s="1">
        <f>TablaVentas[[#This Row],[Total Venta]]-TablaVentas[[#This Row],[Total Costo]]</f>
        <v>2259.0999999999995</v>
      </c>
    </row>
    <row r="943" spans="1:11" x14ac:dyDescent="0.25">
      <c r="A943" s="2">
        <v>45620</v>
      </c>
      <c r="B943" s="1" t="s">
        <v>8</v>
      </c>
      <c r="C943" s="1" t="s">
        <v>9</v>
      </c>
      <c r="D943" s="1" t="s">
        <v>24</v>
      </c>
      <c r="E943" s="1" t="s">
        <v>20</v>
      </c>
      <c r="F943" s="1">
        <v>6</v>
      </c>
      <c r="G943" s="1">
        <v>598.38</v>
      </c>
      <c r="H943" s="1">
        <v>438.41</v>
      </c>
      <c r="I943" s="1">
        <f>TablaVentas[[#This Row],[Precio Unitario]]*TablaVentas[[#This Row],[Cantidad]]</f>
        <v>3590.2799999999997</v>
      </c>
      <c r="J943" s="1">
        <f>TablaVentas[[#This Row],[Costo Unitario]]*TablaVentas[[#This Row],[Cantidad]]</f>
        <v>2630.46</v>
      </c>
      <c r="K943" s="1">
        <f>TablaVentas[[#This Row],[Total Venta]]-TablaVentas[[#This Row],[Total Costo]]</f>
        <v>959.81999999999971</v>
      </c>
    </row>
    <row r="944" spans="1:11" x14ac:dyDescent="0.25">
      <c r="A944" s="2">
        <v>45622</v>
      </c>
      <c r="B944" s="1" t="s">
        <v>26</v>
      </c>
      <c r="C944" s="1" t="s">
        <v>19</v>
      </c>
      <c r="D944" s="1" t="s">
        <v>25</v>
      </c>
      <c r="E944" s="1" t="s">
        <v>11</v>
      </c>
      <c r="F944" s="1">
        <v>4</v>
      </c>
      <c r="G944" s="1">
        <v>51.47</v>
      </c>
      <c r="H944" s="1">
        <v>25.4</v>
      </c>
      <c r="I944" s="1">
        <f>TablaVentas[[#This Row],[Precio Unitario]]*TablaVentas[[#This Row],[Cantidad]]</f>
        <v>205.88</v>
      </c>
      <c r="J944" s="1">
        <f>TablaVentas[[#This Row],[Costo Unitario]]*TablaVentas[[#This Row],[Cantidad]]</f>
        <v>101.6</v>
      </c>
      <c r="K944" s="1">
        <f>TablaVentas[[#This Row],[Total Venta]]-TablaVentas[[#This Row],[Total Costo]]</f>
        <v>104.28</v>
      </c>
    </row>
    <row r="945" spans="1:11" x14ac:dyDescent="0.25">
      <c r="A945" s="2">
        <v>45622</v>
      </c>
      <c r="B945" s="1" t="s">
        <v>18</v>
      </c>
      <c r="C945" s="1" t="s">
        <v>19</v>
      </c>
      <c r="D945" s="1" t="s">
        <v>17</v>
      </c>
      <c r="E945" s="1" t="s">
        <v>15</v>
      </c>
      <c r="F945" s="1">
        <v>8</v>
      </c>
      <c r="G945" s="1">
        <v>1116.58</v>
      </c>
      <c r="H945" s="1">
        <v>920.12</v>
      </c>
      <c r="I945" s="1">
        <f>TablaVentas[[#This Row],[Precio Unitario]]*TablaVentas[[#This Row],[Cantidad]]</f>
        <v>8932.64</v>
      </c>
      <c r="J945" s="1">
        <f>TablaVentas[[#This Row],[Costo Unitario]]*TablaVentas[[#This Row],[Cantidad]]</f>
        <v>7360.96</v>
      </c>
      <c r="K945" s="1">
        <f>TablaVentas[[#This Row],[Total Venta]]-TablaVentas[[#This Row],[Total Costo]]</f>
        <v>1571.6799999999994</v>
      </c>
    </row>
    <row r="946" spans="1:11" x14ac:dyDescent="0.25">
      <c r="A946" s="2">
        <v>45622</v>
      </c>
      <c r="B946" s="1" t="s">
        <v>21</v>
      </c>
      <c r="C946" s="1" t="s">
        <v>19</v>
      </c>
      <c r="D946" s="1" t="s">
        <v>10</v>
      </c>
      <c r="E946" s="1" t="s">
        <v>20</v>
      </c>
      <c r="F946" s="1">
        <v>4</v>
      </c>
      <c r="G946" s="1">
        <v>78.05</v>
      </c>
      <c r="H946" s="1">
        <v>48.81</v>
      </c>
      <c r="I946" s="1">
        <f>TablaVentas[[#This Row],[Precio Unitario]]*TablaVentas[[#This Row],[Cantidad]]</f>
        <v>312.2</v>
      </c>
      <c r="J946" s="1">
        <f>TablaVentas[[#This Row],[Costo Unitario]]*TablaVentas[[#This Row],[Cantidad]]</f>
        <v>195.24</v>
      </c>
      <c r="K946" s="1">
        <f>TablaVentas[[#This Row],[Total Venta]]-TablaVentas[[#This Row],[Total Costo]]</f>
        <v>116.95999999999998</v>
      </c>
    </row>
    <row r="947" spans="1:11" x14ac:dyDescent="0.25">
      <c r="A947" s="2">
        <v>45623</v>
      </c>
      <c r="B947" s="1" t="s">
        <v>26</v>
      </c>
      <c r="C947" s="1" t="s">
        <v>19</v>
      </c>
      <c r="D947" s="1" t="s">
        <v>25</v>
      </c>
      <c r="E947" s="1" t="s">
        <v>20</v>
      </c>
      <c r="F947" s="1">
        <v>10</v>
      </c>
      <c r="G947" s="1">
        <v>40.54</v>
      </c>
      <c r="H947" s="1">
        <v>26.63</v>
      </c>
      <c r="I947" s="1">
        <f>TablaVentas[[#This Row],[Precio Unitario]]*TablaVentas[[#This Row],[Cantidad]]</f>
        <v>405.4</v>
      </c>
      <c r="J947" s="1">
        <f>TablaVentas[[#This Row],[Costo Unitario]]*TablaVentas[[#This Row],[Cantidad]]</f>
        <v>266.3</v>
      </c>
      <c r="K947" s="1">
        <f>TablaVentas[[#This Row],[Total Venta]]-TablaVentas[[#This Row],[Total Costo]]</f>
        <v>139.09999999999997</v>
      </c>
    </row>
    <row r="948" spans="1:11" x14ac:dyDescent="0.25">
      <c r="A948" s="2">
        <v>45623</v>
      </c>
      <c r="B948" s="1" t="s">
        <v>12</v>
      </c>
      <c r="C948" s="1" t="s">
        <v>13</v>
      </c>
      <c r="D948" s="1" t="s">
        <v>14</v>
      </c>
      <c r="E948" s="1" t="s">
        <v>20</v>
      </c>
      <c r="F948" s="1">
        <v>5</v>
      </c>
      <c r="G948" s="1">
        <v>63.31</v>
      </c>
      <c r="H948" s="1">
        <v>37.83</v>
      </c>
      <c r="I948" s="1">
        <f>TablaVentas[[#This Row],[Precio Unitario]]*TablaVentas[[#This Row],[Cantidad]]</f>
        <v>316.55</v>
      </c>
      <c r="J948" s="1">
        <f>TablaVentas[[#This Row],[Costo Unitario]]*TablaVentas[[#This Row],[Cantidad]]</f>
        <v>189.14999999999998</v>
      </c>
      <c r="K948" s="1">
        <f>TablaVentas[[#This Row],[Total Venta]]-TablaVentas[[#This Row],[Total Costo]]</f>
        <v>127.40000000000003</v>
      </c>
    </row>
    <row r="949" spans="1:11" x14ac:dyDescent="0.25">
      <c r="A949" s="2">
        <v>45623</v>
      </c>
      <c r="B949" s="1" t="s">
        <v>32</v>
      </c>
      <c r="C949" s="1" t="s">
        <v>30</v>
      </c>
      <c r="D949" s="1" t="s">
        <v>27</v>
      </c>
      <c r="E949" s="1" t="s">
        <v>22</v>
      </c>
      <c r="F949" s="1">
        <v>6</v>
      </c>
      <c r="G949" s="1">
        <v>341.5</v>
      </c>
      <c r="H949" s="1">
        <v>198.41</v>
      </c>
      <c r="I949" s="1">
        <f>TablaVentas[[#This Row],[Precio Unitario]]*TablaVentas[[#This Row],[Cantidad]]</f>
        <v>2049</v>
      </c>
      <c r="J949" s="1">
        <f>TablaVentas[[#This Row],[Costo Unitario]]*TablaVentas[[#This Row],[Cantidad]]</f>
        <v>1190.46</v>
      </c>
      <c r="K949" s="1">
        <f>TablaVentas[[#This Row],[Total Venta]]-TablaVentas[[#This Row],[Total Costo]]</f>
        <v>858.54</v>
      </c>
    </row>
    <row r="950" spans="1:11" x14ac:dyDescent="0.25">
      <c r="A950" s="2">
        <v>45624</v>
      </c>
      <c r="B950" s="1" t="s">
        <v>18</v>
      </c>
      <c r="C950" s="1" t="s">
        <v>19</v>
      </c>
      <c r="D950" s="1" t="s">
        <v>10</v>
      </c>
      <c r="E950" s="1" t="s">
        <v>28</v>
      </c>
      <c r="F950" s="1">
        <v>6</v>
      </c>
      <c r="G950" s="1">
        <v>1038.3399999999999</v>
      </c>
      <c r="H950" s="1">
        <v>807.74</v>
      </c>
      <c r="I950" s="1">
        <f>TablaVentas[[#This Row],[Precio Unitario]]*TablaVentas[[#This Row],[Cantidad]]</f>
        <v>6230.0399999999991</v>
      </c>
      <c r="J950" s="1">
        <f>TablaVentas[[#This Row],[Costo Unitario]]*TablaVentas[[#This Row],[Cantidad]]</f>
        <v>4846.4400000000005</v>
      </c>
      <c r="K950" s="1">
        <f>TablaVentas[[#This Row],[Total Venta]]-TablaVentas[[#This Row],[Total Costo]]</f>
        <v>1383.5999999999985</v>
      </c>
    </row>
    <row r="951" spans="1:11" x14ac:dyDescent="0.25">
      <c r="A951" s="2">
        <v>45625</v>
      </c>
      <c r="B951" s="1" t="s">
        <v>12</v>
      </c>
      <c r="C951" s="1" t="s">
        <v>13</v>
      </c>
      <c r="D951" s="1" t="s">
        <v>33</v>
      </c>
      <c r="E951" s="1" t="s">
        <v>15</v>
      </c>
      <c r="F951" s="1">
        <v>1</v>
      </c>
      <c r="G951" s="1">
        <v>66.28</v>
      </c>
      <c r="H951" s="1">
        <v>43.46</v>
      </c>
      <c r="I951" s="1">
        <f>TablaVentas[[#This Row],[Precio Unitario]]*TablaVentas[[#This Row],[Cantidad]]</f>
        <v>66.28</v>
      </c>
      <c r="J951" s="1">
        <f>TablaVentas[[#This Row],[Costo Unitario]]*TablaVentas[[#This Row],[Cantidad]]</f>
        <v>43.46</v>
      </c>
      <c r="K951" s="1">
        <f>TablaVentas[[#This Row],[Total Venta]]-TablaVentas[[#This Row],[Total Costo]]</f>
        <v>22.82</v>
      </c>
    </row>
    <row r="952" spans="1:11" x14ac:dyDescent="0.25">
      <c r="A952" s="2">
        <v>45625</v>
      </c>
      <c r="B952" s="1" t="s">
        <v>21</v>
      </c>
      <c r="C952" s="1" t="s">
        <v>19</v>
      </c>
      <c r="D952" s="1" t="s">
        <v>14</v>
      </c>
      <c r="E952" s="1" t="s">
        <v>15</v>
      </c>
      <c r="F952" s="1">
        <v>2</v>
      </c>
      <c r="G952" s="1">
        <v>87.72</v>
      </c>
      <c r="H952" s="1">
        <v>51.38</v>
      </c>
      <c r="I952" s="1">
        <f>TablaVentas[[#This Row],[Precio Unitario]]*TablaVentas[[#This Row],[Cantidad]]</f>
        <v>175.44</v>
      </c>
      <c r="J952" s="1">
        <f>TablaVentas[[#This Row],[Costo Unitario]]*TablaVentas[[#This Row],[Cantidad]]</f>
        <v>102.76</v>
      </c>
      <c r="K952" s="1">
        <f>TablaVentas[[#This Row],[Total Venta]]-TablaVentas[[#This Row],[Total Costo]]</f>
        <v>72.679999999999993</v>
      </c>
    </row>
    <row r="953" spans="1:11" x14ac:dyDescent="0.25">
      <c r="A953" s="2">
        <v>45626</v>
      </c>
      <c r="B953" s="1" t="s">
        <v>34</v>
      </c>
      <c r="C953" s="1" t="s">
        <v>13</v>
      </c>
      <c r="D953" s="1" t="s">
        <v>33</v>
      </c>
      <c r="E953" s="1" t="s">
        <v>28</v>
      </c>
      <c r="F953" s="1">
        <v>4</v>
      </c>
      <c r="G953" s="1">
        <v>242.39</v>
      </c>
      <c r="H953" s="1">
        <v>179.08</v>
      </c>
      <c r="I953" s="1">
        <f>TablaVentas[[#This Row],[Precio Unitario]]*TablaVentas[[#This Row],[Cantidad]]</f>
        <v>969.56</v>
      </c>
      <c r="J953" s="1">
        <f>TablaVentas[[#This Row],[Costo Unitario]]*TablaVentas[[#This Row],[Cantidad]]</f>
        <v>716.32</v>
      </c>
      <c r="K953" s="1">
        <f>TablaVentas[[#This Row],[Total Venta]]-TablaVentas[[#This Row],[Total Costo]]</f>
        <v>253.2399999999999</v>
      </c>
    </row>
    <row r="954" spans="1:11" x14ac:dyDescent="0.25">
      <c r="A954" s="2">
        <v>45626</v>
      </c>
      <c r="B954" s="1" t="s">
        <v>16</v>
      </c>
      <c r="C954" s="1" t="s">
        <v>13</v>
      </c>
      <c r="D954" s="1" t="s">
        <v>25</v>
      </c>
      <c r="E954" s="1" t="s">
        <v>22</v>
      </c>
      <c r="F954" s="1">
        <v>7</v>
      </c>
      <c r="G954" s="1">
        <v>59.13</v>
      </c>
      <c r="H954" s="1">
        <v>34.29</v>
      </c>
      <c r="I954" s="1">
        <f>TablaVentas[[#This Row],[Precio Unitario]]*TablaVentas[[#This Row],[Cantidad]]</f>
        <v>413.91</v>
      </c>
      <c r="J954" s="1">
        <f>TablaVentas[[#This Row],[Costo Unitario]]*TablaVentas[[#This Row],[Cantidad]]</f>
        <v>240.03</v>
      </c>
      <c r="K954" s="1">
        <f>TablaVentas[[#This Row],[Total Venta]]-TablaVentas[[#This Row],[Total Costo]]</f>
        <v>173.88000000000002</v>
      </c>
    </row>
    <row r="955" spans="1:11" x14ac:dyDescent="0.25">
      <c r="A955" s="2">
        <v>45627</v>
      </c>
      <c r="B955" s="1" t="s">
        <v>34</v>
      </c>
      <c r="C955" s="1" t="s">
        <v>13</v>
      </c>
      <c r="D955" s="1" t="s">
        <v>25</v>
      </c>
      <c r="E955" s="1" t="s">
        <v>28</v>
      </c>
      <c r="F955" s="1">
        <v>6</v>
      </c>
      <c r="G955" s="1">
        <v>275.38</v>
      </c>
      <c r="H955" s="1">
        <v>172.73</v>
      </c>
      <c r="I955" s="1">
        <f>TablaVentas[[#This Row],[Precio Unitario]]*TablaVentas[[#This Row],[Cantidad]]</f>
        <v>1652.28</v>
      </c>
      <c r="J955" s="1">
        <f>TablaVentas[[#This Row],[Costo Unitario]]*TablaVentas[[#This Row],[Cantidad]]</f>
        <v>1036.3799999999999</v>
      </c>
      <c r="K955" s="1">
        <f>TablaVentas[[#This Row],[Total Venta]]-TablaVentas[[#This Row],[Total Costo]]</f>
        <v>615.90000000000009</v>
      </c>
    </row>
    <row r="956" spans="1:11" x14ac:dyDescent="0.25">
      <c r="A956" s="2">
        <v>45627</v>
      </c>
      <c r="B956" s="1" t="s">
        <v>34</v>
      </c>
      <c r="C956" s="1" t="s">
        <v>13</v>
      </c>
      <c r="D956" s="1" t="s">
        <v>24</v>
      </c>
      <c r="E956" s="1" t="s">
        <v>15</v>
      </c>
      <c r="F956" s="1">
        <v>8</v>
      </c>
      <c r="G956" s="1">
        <v>279.81</v>
      </c>
      <c r="H956" s="1">
        <v>207.42</v>
      </c>
      <c r="I956" s="1">
        <f>TablaVentas[[#This Row],[Precio Unitario]]*TablaVentas[[#This Row],[Cantidad]]</f>
        <v>2238.48</v>
      </c>
      <c r="J956" s="1">
        <f>TablaVentas[[#This Row],[Costo Unitario]]*TablaVentas[[#This Row],[Cantidad]]</f>
        <v>1659.36</v>
      </c>
      <c r="K956" s="1">
        <f>TablaVentas[[#This Row],[Total Venta]]-TablaVentas[[#This Row],[Total Costo]]</f>
        <v>579.12000000000012</v>
      </c>
    </row>
    <row r="957" spans="1:11" x14ac:dyDescent="0.25">
      <c r="A957" s="2">
        <v>45627</v>
      </c>
      <c r="B957" s="1" t="s">
        <v>21</v>
      </c>
      <c r="C957" s="1" t="s">
        <v>19</v>
      </c>
      <c r="D957" s="1" t="s">
        <v>31</v>
      </c>
      <c r="E957" s="1" t="s">
        <v>28</v>
      </c>
      <c r="F957" s="1">
        <v>7</v>
      </c>
      <c r="G957" s="1">
        <v>89.73</v>
      </c>
      <c r="H957" s="1">
        <v>46.92</v>
      </c>
      <c r="I957" s="1">
        <f>TablaVentas[[#This Row],[Precio Unitario]]*TablaVentas[[#This Row],[Cantidad]]</f>
        <v>628.11</v>
      </c>
      <c r="J957" s="1">
        <f>TablaVentas[[#This Row],[Costo Unitario]]*TablaVentas[[#This Row],[Cantidad]]</f>
        <v>328.44</v>
      </c>
      <c r="K957" s="1">
        <f>TablaVentas[[#This Row],[Total Venta]]-TablaVentas[[#This Row],[Total Costo]]</f>
        <v>299.67</v>
      </c>
    </row>
    <row r="958" spans="1:11" x14ac:dyDescent="0.25">
      <c r="A958" s="2">
        <v>45628</v>
      </c>
      <c r="B958" s="1" t="s">
        <v>16</v>
      </c>
      <c r="C958" s="1" t="s">
        <v>13</v>
      </c>
      <c r="D958" s="1" t="s">
        <v>33</v>
      </c>
      <c r="E958" s="1" t="s">
        <v>28</v>
      </c>
      <c r="F958" s="1">
        <v>8</v>
      </c>
      <c r="G958" s="1">
        <v>61.16</v>
      </c>
      <c r="H958" s="1">
        <v>37.79</v>
      </c>
      <c r="I958" s="1">
        <f>TablaVentas[[#This Row],[Precio Unitario]]*TablaVentas[[#This Row],[Cantidad]]</f>
        <v>489.28</v>
      </c>
      <c r="J958" s="1">
        <f>TablaVentas[[#This Row],[Costo Unitario]]*TablaVentas[[#This Row],[Cantidad]]</f>
        <v>302.32</v>
      </c>
      <c r="K958" s="1">
        <f>TablaVentas[[#This Row],[Total Venta]]-TablaVentas[[#This Row],[Total Costo]]</f>
        <v>186.95999999999998</v>
      </c>
    </row>
    <row r="959" spans="1:11" x14ac:dyDescent="0.25">
      <c r="A959" s="2">
        <v>45629</v>
      </c>
      <c r="B959" s="1" t="s">
        <v>26</v>
      </c>
      <c r="C959" s="1" t="s">
        <v>19</v>
      </c>
      <c r="D959" s="1" t="s">
        <v>24</v>
      </c>
      <c r="E959" s="1" t="s">
        <v>22</v>
      </c>
      <c r="F959" s="1">
        <v>4</v>
      </c>
      <c r="G959" s="1">
        <v>51.42</v>
      </c>
      <c r="H959" s="1">
        <v>24.51</v>
      </c>
      <c r="I959" s="1">
        <f>TablaVentas[[#This Row],[Precio Unitario]]*TablaVentas[[#This Row],[Cantidad]]</f>
        <v>205.68</v>
      </c>
      <c r="J959" s="1">
        <f>TablaVentas[[#This Row],[Costo Unitario]]*TablaVentas[[#This Row],[Cantidad]]</f>
        <v>98.04</v>
      </c>
      <c r="K959" s="1">
        <f>TablaVentas[[#This Row],[Total Venta]]-TablaVentas[[#This Row],[Total Costo]]</f>
        <v>107.64</v>
      </c>
    </row>
    <row r="960" spans="1:11" x14ac:dyDescent="0.25">
      <c r="A960" s="2">
        <v>45631</v>
      </c>
      <c r="B960" s="1" t="s">
        <v>8</v>
      </c>
      <c r="C960" s="1" t="s">
        <v>9</v>
      </c>
      <c r="D960" s="1" t="s">
        <v>24</v>
      </c>
      <c r="E960" s="1" t="s">
        <v>28</v>
      </c>
      <c r="F960" s="1">
        <v>5</v>
      </c>
      <c r="G960" s="1">
        <v>719.37</v>
      </c>
      <c r="H960" s="1">
        <v>438.19</v>
      </c>
      <c r="I960" s="1">
        <f>TablaVentas[[#This Row],[Precio Unitario]]*TablaVentas[[#This Row],[Cantidad]]</f>
        <v>3596.85</v>
      </c>
      <c r="J960" s="1">
        <f>TablaVentas[[#This Row],[Costo Unitario]]*TablaVentas[[#This Row],[Cantidad]]</f>
        <v>2190.9499999999998</v>
      </c>
      <c r="K960" s="1">
        <f>TablaVentas[[#This Row],[Total Venta]]-TablaVentas[[#This Row],[Total Costo]]</f>
        <v>1405.9</v>
      </c>
    </row>
    <row r="961" spans="1:11" x14ac:dyDescent="0.25">
      <c r="A961" s="2">
        <v>45632</v>
      </c>
      <c r="B961" s="1" t="s">
        <v>23</v>
      </c>
      <c r="C961" s="1" t="s">
        <v>9</v>
      </c>
      <c r="D961" s="1" t="s">
        <v>10</v>
      </c>
      <c r="E961" s="1" t="s">
        <v>28</v>
      </c>
      <c r="F961" s="1">
        <v>3</v>
      </c>
      <c r="G961" s="1">
        <v>77.48</v>
      </c>
      <c r="H961" s="1">
        <v>45</v>
      </c>
      <c r="I961" s="1">
        <f>TablaVentas[[#This Row],[Precio Unitario]]*TablaVentas[[#This Row],[Cantidad]]</f>
        <v>232.44</v>
      </c>
      <c r="J961" s="1">
        <f>TablaVentas[[#This Row],[Costo Unitario]]*TablaVentas[[#This Row],[Cantidad]]</f>
        <v>135</v>
      </c>
      <c r="K961" s="1">
        <f>TablaVentas[[#This Row],[Total Venta]]-TablaVentas[[#This Row],[Total Costo]]</f>
        <v>97.44</v>
      </c>
    </row>
    <row r="962" spans="1:11" x14ac:dyDescent="0.25">
      <c r="A962" s="2">
        <v>45633</v>
      </c>
      <c r="B962" s="1" t="s">
        <v>18</v>
      </c>
      <c r="C962" s="1" t="s">
        <v>19</v>
      </c>
      <c r="D962" s="1" t="s">
        <v>14</v>
      </c>
      <c r="E962" s="1" t="s">
        <v>28</v>
      </c>
      <c r="F962" s="1">
        <v>6</v>
      </c>
      <c r="G962" s="1">
        <v>1030.58</v>
      </c>
      <c r="H962" s="1">
        <v>886.87</v>
      </c>
      <c r="I962" s="1">
        <f>TablaVentas[[#This Row],[Precio Unitario]]*TablaVentas[[#This Row],[Cantidad]]</f>
        <v>6183.48</v>
      </c>
      <c r="J962" s="1">
        <f>TablaVentas[[#This Row],[Costo Unitario]]*TablaVentas[[#This Row],[Cantidad]]</f>
        <v>5321.22</v>
      </c>
      <c r="K962" s="1">
        <f>TablaVentas[[#This Row],[Total Venta]]-TablaVentas[[#This Row],[Total Costo]]</f>
        <v>862.25999999999931</v>
      </c>
    </row>
    <row r="963" spans="1:11" x14ac:dyDescent="0.25">
      <c r="A963" s="2">
        <v>45634</v>
      </c>
      <c r="B963" s="1" t="s">
        <v>34</v>
      </c>
      <c r="C963" s="1" t="s">
        <v>13</v>
      </c>
      <c r="D963" s="1" t="s">
        <v>17</v>
      </c>
      <c r="E963" s="1" t="s">
        <v>22</v>
      </c>
      <c r="F963" s="1">
        <v>3</v>
      </c>
      <c r="G963" s="1">
        <v>255.5</v>
      </c>
      <c r="H963" s="1">
        <v>181.21</v>
      </c>
      <c r="I963" s="1">
        <f>TablaVentas[[#This Row],[Precio Unitario]]*TablaVentas[[#This Row],[Cantidad]]</f>
        <v>766.5</v>
      </c>
      <c r="J963" s="1">
        <f>TablaVentas[[#This Row],[Costo Unitario]]*TablaVentas[[#This Row],[Cantidad]]</f>
        <v>543.63</v>
      </c>
      <c r="K963" s="1">
        <f>TablaVentas[[#This Row],[Total Venta]]-TablaVentas[[#This Row],[Total Costo]]</f>
        <v>222.87</v>
      </c>
    </row>
    <row r="964" spans="1:11" x14ac:dyDescent="0.25">
      <c r="A964" s="2">
        <v>45634</v>
      </c>
      <c r="B964" s="1" t="s">
        <v>21</v>
      </c>
      <c r="C964" s="1" t="s">
        <v>19</v>
      </c>
      <c r="D964" s="1" t="s">
        <v>33</v>
      </c>
      <c r="E964" s="1" t="s">
        <v>15</v>
      </c>
      <c r="F964" s="1">
        <v>5</v>
      </c>
      <c r="G964" s="1">
        <v>76.930000000000007</v>
      </c>
      <c r="H964" s="1">
        <v>54.43</v>
      </c>
      <c r="I964" s="1">
        <f>TablaVentas[[#This Row],[Precio Unitario]]*TablaVentas[[#This Row],[Cantidad]]</f>
        <v>384.65000000000003</v>
      </c>
      <c r="J964" s="1">
        <f>TablaVentas[[#This Row],[Costo Unitario]]*TablaVentas[[#This Row],[Cantidad]]</f>
        <v>272.14999999999998</v>
      </c>
      <c r="K964" s="1">
        <f>TablaVentas[[#This Row],[Total Venta]]-TablaVentas[[#This Row],[Total Costo]]</f>
        <v>112.50000000000006</v>
      </c>
    </row>
    <row r="965" spans="1:11" x14ac:dyDescent="0.25">
      <c r="A965" s="2">
        <v>45634</v>
      </c>
      <c r="B965" s="1" t="s">
        <v>8</v>
      </c>
      <c r="C965" s="1" t="s">
        <v>9</v>
      </c>
      <c r="D965" s="1" t="s">
        <v>14</v>
      </c>
      <c r="E965" s="1" t="s">
        <v>15</v>
      </c>
      <c r="F965" s="1">
        <v>8</v>
      </c>
      <c r="G965" s="1">
        <v>757.17</v>
      </c>
      <c r="H965" s="1">
        <v>519.13</v>
      </c>
      <c r="I965" s="1">
        <f>TablaVentas[[#This Row],[Precio Unitario]]*TablaVentas[[#This Row],[Cantidad]]</f>
        <v>6057.36</v>
      </c>
      <c r="J965" s="1">
        <f>TablaVentas[[#This Row],[Costo Unitario]]*TablaVentas[[#This Row],[Cantidad]]</f>
        <v>4153.04</v>
      </c>
      <c r="K965" s="1">
        <f>TablaVentas[[#This Row],[Total Venta]]-TablaVentas[[#This Row],[Total Costo]]</f>
        <v>1904.3199999999997</v>
      </c>
    </row>
    <row r="966" spans="1:11" x14ac:dyDescent="0.25">
      <c r="A966" s="2">
        <v>45634</v>
      </c>
      <c r="B966" s="1" t="s">
        <v>21</v>
      </c>
      <c r="C966" s="1" t="s">
        <v>19</v>
      </c>
      <c r="D966" s="1" t="s">
        <v>27</v>
      </c>
      <c r="E966" s="1" t="s">
        <v>28</v>
      </c>
      <c r="F966" s="1">
        <v>7</v>
      </c>
      <c r="G966" s="1">
        <v>83.87</v>
      </c>
      <c r="H966" s="1">
        <v>56.49</v>
      </c>
      <c r="I966" s="1">
        <f>TablaVentas[[#This Row],[Precio Unitario]]*TablaVentas[[#This Row],[Cantidad]]</f>
        <v>587.09</v>
      </c>
      <c r="J966" s="1">
        <f>TablaVentas[[#This Row],[Costo Unitario]]*TablaVentas[[#This Row],[Cantidad]]</f>
        <v>395.43</v>
      </c>
      <c r="K966" s="1">
        <f>TablaVentas[[#This Row],[Total Venta]]-TablaVentas[[#This Row],[Total Costo]]</f>
        <v>191.66000000000003</v>
      </c>
    </row>
    <row r="967" spans="1:11" x14ac:dyDescent="0.25">
      <c r="A967" s="2">
        <v>45636</v>
      </c>
      <c r="B967" s="1" t="s">
        <v>8</v>
      </c>
      <c r="C967" s="1" t="s">
        <v>9</v>
      </c>
      <c r="D967" s="1" t="s">
        <v>10</v>
      </c>
      <c r="E967" s="1" t="s">
        <v>20</v>
      </c>
      <c r="F967" s="1">
        <v>1</v>
      </c>
      <c r="G967" s="1">
        <v>655.05999999999995</v>
      </c>
      <c r="H967" s="1">
        <v>445.22</v>
      </c>
      <c r="I967" s="1">
        <f>TablaVentas[[#This Row],[Precio Unitario]]*TablaVentas[[#This Row],[Cantidad]]</f>
        <v>655.05999999999995</v>
      </c>
      <c r="J967" s="1">
        <f>TablaVentas[[#This Row],[Costo Unitario]]*TablaVentas[[#This Row],[Cantidad]]</f>
        <v>445.22</v>
      </c>
      <c r="K967" s="1">
        <f>TablaVentas[[#This Row],[Total Venta]]-TablaVentas[[#This Row],[Total Costo]]</f>
        <v>209.83999999999992</v>
      </c>
    </row>
    <row r="968" spans="1:11" x14ac:dyDescent="0.25">
      <c r="A968" s="2">
        <v>45636</v>
      </c>
      <c r="B968" s="1" t="s">
        <v>18</v>
      </c>
      <c r="C968" s="1" t="s">
        <v>19</v>
      </c>
      <c r="D968" s="1" t="s">
        <v>10</v>
      </c>
      <c r="E968" s="1" t="s">
        <v>20</v>
      </c>
      <c r="F968" s="1">
        <v>6</v>
      </c>
      <c r="G968" s="1">
        <v>1220.93</v>
      </c>
      <c r="H968" s="1">
        <v>885.44</v>
      </c>
      <c r="I968" s="1">
        <f>TablaVentas[[#This Row],[Precio Unitario]]*TablaVentas[[#This Row],[Cantidad]]</f>
        <v>7325.58</v>
      </c>
      <c r="J968" s="1">
        <f>TablaVentas[[#This Row],[Costo Unitario]]*TablaVentas[[#This Row],[Cantidad]]</f>
        <v>5312.64</v>
      </c>
      <c r="K968" s="1">
        <f>TablaVentas[[#This Row],[Total Venta]]-TablaVentas[[#This Row],[Total Costo]]</f>
        <v>2012.9399999999996</v>
      </c>
    </row>
    <row r="969" spans="1:11" x14ac:dyDescent="0.25">
      <c r="A969" s="2">
        <v>45637</v>
      </c>
      <c r="B969" s="1" t="s">
        <v>23</v>
      </c>
      <c r="C969" s="1" t="s">
        <v>9</v>
      </c>
      <c r="D969" s="1" t="s">
        <v>10</v>
      </c>
      <c r="E969" s="1" t="s">
        <v>15</v>
      </c>
      <c r="F969" s="1">
        <v>4</v>
      </c>
      <c r="G969" s="1">
        <v>85.21</v>
      </c>
      <c r="H969" s="1">
        <v>42.04</v>
      </c>
      <c r="I969" s="1">
        <f>TablaVentas[[#This Row],[Precio Unitario]]*TablaVentas[[#This Row],[Cantidad]]</f>
        <v>340.84</v>
      </c>
      <c r="J969" s="1">
        <f>TablaVentas[[#This Row],[Costo Unitario]]*TablaVentas[[#This Row],[Cantidad]]</f>
        <v>168.16</v>
      </c>
      <c r="K969" s="1">
        <f>TablaVentas[[#This Row],[Total Venta]]-TablaVentas[[#This Row],[Total Costo]]</f>
        <v>172.67999999999998</v>
      </c>
    </row>
    <row r="970" spans="1:11" x14ac:dyDescent="0.25">
      <c r="A970" s="2">
        <v>45637</v>
      </c>
      <c r="B970" s="1" t="s">
        <v>21</v>
      </c>
      <c r="C970" s="1" t="s">
        <v>19</v>
      </c>
      <c r="D970" s="1" t="s">
        <v>25</v>
      </c>
      <c r="E970" s="1" t="s">
        <v>22</v>
      </c>
      <c r="F970" s="1">
        <v>2</v>
      </c>
      <c r="G970" s="1">
        <v>97.27</v>
      </c>
      <c r="H970" s="1">
        <v>52.57</v>
      </c>
      <c r="I970" s="1">
        <f>TablaVentas[[#This Row],[Precio Unitario]]*TablaVentas[[#This Row],[Cantidad]]</f>
        <v>194.54</v>
      </c>
      <c r="J970" s="1">
        <f>TablaVentas[[#This Row],[Costo Unitario]]*TablaVentas[[#This Row],[Cantidad]]</f>
        <v>105.14</v>
      </c>
      <c r="K970" s="1">
        <f>TablaVentas[[#This Row],[Total Venta]]-TablaVentas[[#This Row],[Total Costo]]</f>
        <v>89.399999999999991</v>
      </c>
    </row>
    <row r="971" spans="1:11" x14ac:dyDescent="0.25">
      <c r="A971" s="2">
        <v>45638</v>
      </c>
      <c r="B971" s="1" t="s">
        <v>32</v>
      </c>
      <c r="C971" s="1" t="s">
        <v>30</v>
      </c>
      <c r="D971" s="1" t="s">
        <v>24</v>
      </c>
      <c r="E971" s="1" t="s">
        <v>11</v>
      </c>
      <c r="F971" s="1">
        <v>7</v>
      </c>
      <c r="G971" s="1">
        <v>303.87</v>
      </c>
      <c r="H971" s="1">
        <v>193.35</v>
      </c>
      <c r="I971" s="1">
        <f>TablaVentas[[#This Row],[Precio Unitario]]*TablaVentas[[#This Row],[Cantidad]]</f>
        <v>2127.09</v>
      </c>
      <c r="J971" s="1">
        <f>TablaVentas[[#This Row],[Costo Unitario]]*TablaVentas[[#This Row],[Cantidad]]</f>
        <v>1353.45</v>
      </c>
      <c r="K971" s="1">
        <f>TablaVentas[[#This Row],[Total Venta]]-TablaVentas[[#This Row],[Total Costo]]</f>
        <v>773.6400000000001</v>
      </c>
    </row>
    <row r="972" spans="1:11" x14ac:dyDescent="0.25">
      <c r="A972" s="2">
        <v>45639</v>
      </c>
      <c r="B972" s="1" t="s">
        <v>18</v>
      </c>
      <c r="C972" s="1" t="s">
        <v>19</v>
      </c>
      <c r="D972" s="1" t="s">
        <v>17</v>
      </c>
      <c r="E972" s="1" t="s">
        <v>15</v>
      </c>
      <c r="F972" s="1">
        <v>10</v>
      </c>
      <c r="G972" s="1">
        <v>1379.9</v>
      </c>
      <c r="H972" s="1">
        <v>882.08</v>
      </c>
      <c r="I972" s="1">
        <f>TablaVentas[[#This Row],[Precio Unitario]]*TablaVentas[[#This Row],[Cantidad]]</f>
        <v>13799</v>
      </c>
      <c r="J972" s="1">
        <f>TablaVentas[[#This Row],[Costo Unitario]]*TablaVentas[[#This Row],[Cantidad]]</f>
        <v>8820.8000000000011</v>
      </c>
      <c r="K972" s="1">
        <f>TablaVentas[[#This Row],[Total Venta]]-TablaVentas[[#This Row],[Total Costo]]</f>
        <v>4978.1999999999989</v>
      </c>
    </row>
    <row r="973" spans="1:11" x14ac:dyDescent="0.25">
      <c r="A973" s="2">
        <v>45639</v>
      </c>
      <c r="B973" s="1" t="s">
        <v>18</v>
      </c>
      <c r="C973" s="1" t="s">
        <v>19</v>
      </c>
      <c r="D973" s="1" t="s">
        <v>31</v>
      </c>
      <c r="E973" s="1" t="s">
        <v>20</v>
      </c>
      <c r="F973" s="1">
        <v>7</v>
      </c>
      <c r="G973" s="1">
        <v>1308.4100000000001</v>
      </c>
      <c r="H973" s="1">
        <v>858.32</v>
      </c>
      <c r="I973" s="1">
        <f>TablaVentas[[#This Row],[Precio Unitario]]*TablaVentas[[#This Row],[Cantidad]]</f>
        <v>9158.8700000000008</v>
      </c>
      <c r="J973" s="1">
        <f>TablaVentas[[#This Row],[Costo Unitario]]*TablaVentas[[#This Row],[Cantidad]]</f>
        <v>6008.2400000000007</v>
      </c>
      <c r="K973" s="1">
        <f>TablaVentas[[#This Row],[Total Venta]]-TablaVentas[[#This Row],[Total Costo]]</f>
        <v>3150.63</v>
      </c>
    </row>
    <row r="974" spans="1:11" x14ac:dyDescent="0.25">
      <c r="A974" s="2">
        <v>45639</v>
      </c>
      <c r="B974" s="1" t="s">
        <v>21</v>
      </c>
      <c r="C974" s="1" t="s">
        <v>19</v>
      </c>
      <c r="D974" s="1" t="s">
        <v>17</v>
      </c>
      <c r="E974" s="1" t="s">
        <v>20</v>
      </c>
      <c r="F974" s="1">
        <v>9</v>
      </c>
      <c r="G974" s="1">
        <v>94.1</v>
      </c>
      <c r="H974" s="1">
        <v>47.05</v>
      </c>
      <c r="I974" s="1">
        <f>TablaVentas[[#This Row],[Precio Unitario]]*TablaVentas[[#This Row],[Cantidad]]</f>
        <v>846.9</v>
      </c>
      <c r="J974" s="1">
        <f>TablaVentas[[#This Row],[Costo Unitario]]*TablaVentas[[#This Row],[Cantidad]]</f>
        <v>423.45</v>
      </c>
      <c r="K974" s="1">
        <f>TablaVentas[[#This Row],[Total Venta]]-TablaVentas[[#This Row],[Total Costo]]</f>
        <v>423.45</v>
      </c>
    </row>
    <row r="975" spans="1:11" x14ac:dyDescent="0.25">
      <c r="A975" s="2">
        <v>45639</v>
      </c>
      <c r="B975" s="1" t="s">
        <v>8</v>
      </c>
      <c r="C975" s="1" t="s">
        <v>9</v>
      </c>
      <c r="D975" s="1" t="s">
        <v>31</v>
      </c>
      <c r="E975" s="1" t="s">
        <v>22</v>
      </c>
      <c r="F975" s="1">
        <v>10</v>
      </c>
      <c r="G975" s="1">
        <v>682.4</v>
      </c>
      <c r="H975" s="1">
        <v>454.2</v>
      </c>
      <c r="I975" s="1">
        <f>TablaVentas[[#This Row],[Precio Unitario]]*TablaVentas[[#This Row],[Cantidad]]</f>
        <v>6824</v>
      </c>
      <c r="J975" s="1">
        <f>TablaVentas[[#This Row],[Costo Unitario]]*TablaVentas[[#This Row],[Cantidad]]</f>
        <v>4542</v>
      </c>
      <c r="K975" s="1">
        <f>TablaVentas[[#This Row],[Total Venta]]-TablaVentas[[#This Row],[Total Costo]]</f>
        <v>2282</v>
      </c>
    </row>
    <row r="976" spans="1:11" x14ac:dyDescent="0.25">
      <c r="A976" s="2">
        <v>45640</v>
      </c>
      <c r="B976" s="1" t="s">
        <v>26</v>
      </c>
      <c r="C976" s="1" t="s">
        <v>19</v>
      </c>
      <c r="D976" s="1" t="s">
        <v>10</v>
      </c>
      <c r="E976" s="1" t="s">
        <v>15</v>
      </c>
      <c r="F976" s="1">
        <v>7</v>
      </c>
      <c r="G976" s="1">
        <v>49.01</v>
      </c>
      <c r="H976" s="1">
        <v>24.94</v>
      </c>
      <c r="I976" s="1">
        <f>TablaVentas[[#This Row],[Precio Unitario]]*TablaVentas[[#This Row],[Cantidad]]</f>
        <v>343.07</v>
      </c>
      <c r="J976" s="1">
        <f>TablaVentas[[#This Row],[Costo Unitario]]*TablaVentas[[#This Row],[Cantidad]]</f>
        <v>174.58</v>
      </c>
      <c r="K976" s="1">
        <f>TablaVentas[[#This Row],[Total Venta]]-TablaVentas[[#This Row],[Total Costo]]</f>
        <v>168.48999999999998</v>
      </c>
    </row>
    <row r="977" spans="1:11" x14ac:dyDescent="0.25">
      <c r="A977" s="2">
        <v>45641</v>
      </c>
      <c r="B977" s="1" t="s">
        <v>18</v>
      </c>
      <c r="C977" s="1" t="s">
        <v>19</v>
      </c>
      <c r="D977" s="1" t="s">
        <v>25</v>
      </c>
      <c r="E977" s="1" t="s">
        <v>22</v>
      </c>
      <c r="F977" s="1">
        <v>9</v>
      </c>
      <c r="G977" s="1">
        <v>1029.8399999999999</v>
      </c>
      <c r="H977" s="1">
        <v>923.66</v>
      </c>
      <c r="I977" s="1">
        <f>TablaVentas[[#This Row],[Precio Unitario]]*TablaVentas[[#This Row],[Cantidad]]</f>
        <v>9268.56</v>
      </c>
      <c r="J977" s="1">
        <f>TablaVentas[[#This Row],[Costo Unitario]]*TablaVentas[[#This Row],[Cantidad]]</f>
        <v>8312.94</v>
      </c>
      <c r="K977" s="1">
        <f>TablaVentas[[#This Row],[Total Venta]]-TablaVentas[[#This Row],[Total Costo]]</f>
        <v>955.61999999999898</v>
      </c>
    </row>
    <row r="978" spans="1:11" x14ac:dyDescent="0.25">
      <c r="A978" s="2">
        <v>45642</v>
      </c>
      <c r="B978" s="1" t="s">
        <v>32</v>
      </c>
      <c r="C978" s="1" t="s">
        <v>30</v>
      </c>
      <c r="D978" s="1" t="s">
        <v>10</v>
      </c>
      <c r="E978" s="1" t="s">
        <v>20</v>
      </c>
      <c r="F978" s="1">
        <v>6</v>
      </c>
      <c r="G978" s="1">
        <v>332.35</v>
      </c>
      <c r="H978" s="1">
        <v>221.72</v>
      </c>
      <c r="I978" s="1">
        <f>TablaVentas[[#This Row],[Precio Unitario]]*TablaVentas[[#This Row],[Cantidad]]</f>
        <v>1994.1000000000001</v>
      </c>
      <c r="J978" s="1">
        <f>TablaVentas[[#This Row],[Costo Unitario]]*TablaVentas[[#This Row],[Cantidad]]</f>
        <v>1330.32</v>
      </c>
      <c r="K978" s="1">
        <f>TablaVentas[[#This Row],[Total Venta]]-TablaVentas[[#This Row],[Total Costo]]</f>
        <v>663.7800000000002</v>
      </c>
    </row>
    <row r="979" spans="1:11" x14ac:dyDescent="0.25">
      <c r="A979" s="2">
        <v>45643</v>
      </c>
      <c r="B979" s="1" t="s">
        <v>23</v>
      </c>
      <c r="C979" s="1" t="s">
        <v>9</v>
      </c>
      <c r="D979" s="1" t="s">
        <v>31</v>
      </c>
      <c r="E979" s="1" t="s">
        <v>28</v>
      </c>
      <c r="F979" s="1">
        <v>3</v>
      </c>
      <c r="G979" s="1">
        <v>75.099999999999994</v>
      </c>
      <c r="H979" s="1">
        <v>42.64</v>
      </c>
      <c r="I979" s="1">
        <f>TablaVentas[[#This Row],[Precio Unitario]]*TablaVentas[[#This Row],[Cantidad]]</f>
        <v>225.29999999999998</v>
      </c>
      <c r="J979" s="1">
        <f>TablaVentas[[#This Row],[Costo Unitario]]*TablaVentas[[#This Row],[Cantidad]]</f>
        <v>127.92</v>
      </c>
      <c r="K979" s="1">
        <f>TablaVentas[[#This Row],[Total Venta]]-TablaVentas[[#This Row],[Total Costo]]</f>
        <v>97.379999999999981</v>
      </c>
    </row>
    <row r="980" spans="1:11" x14ac:dyDescent="0.25">
      <c r="A980" s="2">
        <v>45645</v>
      </c>
      <c r="B980" s="1" t="s">
        <v>8</v>
      </c>
      <c r="C980" s="1" t="s">
        <v>9</v>
      </c>
      <c r="D980" s="1" t="s">
        <v>10</v>
      </c>
      <c r="E980" s="1" t="s">
        <v>28</v>
      </c>
      <c r="F980" s="1">
        <v>1</v>
      </c>
      <c r="G980" s="1">
        <v>615.62</v>
      </c>
      <c r="H980" s="1">
        <v>459.22</v>
      </c>
      <c r="I980" s="1">
        <f>TablaVentas[[#This Row],[Precio Unitario]]*TablaVentas[[#This Row],[Cantidad]]</f>
        <v>615.62</v>
      </c>
      <c r="J980" s="1">
        <f>TablaVentas[[#This Row],[Costo Unitario]]*TablaVentas[[#This Row],[Cantidad]]</f>
        <v>459.22</v>
      </c>
      <c r="K980" s="1">
        <f>TablaVentas[[#This Row],[Total Venta]]-TablaVentas[[#This Row],[Total Costo]]</f>
        <v>156.39999999999998</v>
      </c>
    </row>
    <row r="981" spans="1:11" x14ac:dyDescent="0.25">
      <c r="A981" s="2">
        <v>45645</v>
      </c>
      <c r="B981" s="1" t="s">
        <v>16</v>
      </c>
      <c r="C981" s="1" t="s">
        <v>13</v>
      </c>
      <c r="D981" s="1" t="s">
        <v>33</v>
      </c>
      <c r="E981" s="1" t="s">
        <v>11</v>
      </c>
      <c r="F981" s="1">
        <v>3</v>
      </c>
      <c r="G981" s="1">
        <v>58.07</v>
      </c>
      <c r="H981" s="1">
        <v>35.200000000000003</v>
      </c>
      <c r="I981" s="1">
        <f>TablaVentas[[#This Row],[Precio Unitario]]*TablaVentas[[#This Row],[Cantidad]]</f>
        <v>174.21</v>
      </c>
      <c r="J981" s="1">
        <f>TablaVentas[[#This Row],[Costo Unitario]]*TablaVentas[[#This Row],[Cantidad]]</f>
        <v>105.60000000000001</v>
      </c>
      <c r="K981" s="1">
        <f>TablaVentas[[#This Row],[Total Venta]]-TablaVentas[[#This Row],[Total Costo]]</f>
        <v>68.61</v>
      </c>
    </row>
    <row r="982" spans="1:11" x14ac:dyDescent="0.25">
      <c r="A982" s="2">
        <v>45646</v>
      </c>
      <c r="B982" s="1" t="s">
        <v>34</v>
      </c>
      <c r="C982" s="1" t="s">
        <v>13</v>
      </c>
      <c r="D982" s="1" t="s">
        <v>24</v>
      </c>
      <c r="E982" s="1" t="s">
        <v>11</v>
      </c>
      <c r="F982" s="1">
        <v>8</v>
      </c>
      <c r="G982" s="1">
        <v>251.39</v>
      </c>
      <c r="H982" s="1">
        <v>198.22</v>
      </c>
      <c r="I982" s="1">
        <f>TablaVentas[[#This Row],[Precio Unitario]]*TablaVentas[[#This Row],[Cantidad]]</f>
        <v>2011.12</v>
      </c>
      <c r="J982" s="1">
        <f>TablaVentas[[#This Row],[Costo Unitario]]*TablaVentas[[#This Row],[Cantidad]]</f>
        <v>1585.76</v>
      </c>
      <c r="K982" s="1">
        <f>TablaVentas[[#This Row],[Total Venta]]-TablaVentas[[#This Row],[Total Costo]]</f>
        <v>425.3599999999999</v>
      </c>
    </row>
    <row r="983" spans="1:11" x14ac:dyDescent="0.25">
      <c r="A983" s="2">
        <v>45648</v>
      </c>
      <c r="B983" s="1" t="s">
        <v>21</v>
      </c>
      <c r="C983" s="1" t="s">
        <v>19</v>
      </c>
      <c r="D983" s="1" t="s">
        <v>10</v>
      </c>
      <c r="E983" s="1" t="s">
        <v>11</v>
      </c>
      <c r="F983" s="1">
        <v>3</v>
      </c>
      <c r="G983" s="1">
        <v>81.02</v>
      </c>
      <c r="H983" s="1">
        <v>48.15</v>
      </c>
      <c r="I983" s="1">
        <f>TablaVentas[[#This Row],[Precio Unitario]]*TablaVentas[[#This Row],[Cantidad]]</f>
        <v>243.06</v>
      </c>
      <c r="J983" s="1">
        <f>TablaVentas[[#This Row],[Costo Unitario]]*TablaVentas[[#This Row],[Cantidad]]</f>
        <v>144.44999999999999</v>
      </c>
      <c r="K983" s="1">
        <f>TablaVentas[[#This Row],[Total Venta]]-TablaVentas[[#This Row],[Total Costo]]</f>
        <v>98.610000000000014</v>
      </c>
    </row>
    <row r="984" spans="1:11" x14ac:dyDescent="0.25">
      <c r="A984" s="2">
        <v>45648</v>
      </c>
      <c r="B984" s="1" t="s">
        <v>8</v>
      </c>
      <c r="C984" s="1" t="s">
        <v>9</v>
      </c>
      <c r="D984" s="1" t="s">
        <v>24</v>
      </c>
      <c r="E984" s="1" t="s">
        <v>20</v>
      </c>
      <c r="F984" s="1">
        <v>8</v>
      </c>
      <c r="G984" s="1">
        <v>771.4</v>
      </c>
      <c r="H984" s="1">
        <v>510.41</v>
      </c>
      <c r="I984" s="1">
        <f>TablaVentas[[#This Row],[Precio Unitario]]*TablaVentas[[#This Row],[Cantidad]]</f>
        <v>6171.2</v>
      </c>
      <c r="J984" s="1">
        <f>TablaVentas[[#This Row],[Costo Unitario]]*TablaVentas[[#This Row],[Cantidad]]</f>
        <v>4083.28</v>
      </c>
      <c r="K984" s="1">
        <f>TablaVentas[[#This Row],[Total Venta]]-TablaVentas[[#This Row],[Total Costo]]</f>
        <v>2087.9199999999996</v>
      </c>
    </row>
    <row r="985" spans="1:11" x14ac:dyDescent="0.25">
      <c r="A985" s="2">
        <v>45648</v>
      </c>
      <c r="B985" s="1" t="s">
        <v>29</v>
      </c>
      <c r="C985" s="1" t="s">
        <v>30</v>
      </c>
      <c r="D985" s="1" t="s">
        <v>14</v>
      </c>
      <c r="E985" s="1" t="s">
        <v>11</v>
      </c>
      <c r="F985" s="1">
        <v>3</v>
      </c>
      <c r="G985" s="1">
        <v>466.19</v>
      </c>
      <c r="H985" s="1">
        <v>338.59</v>
      </c>
      <c r="I985" s="1">
        <f>TablaVentas[[#This Row],[Precio Unitario]]*TablaVentas[[#This Row],[Cantidad]]</f>
        <v>1398.57</v>
      </c>
      <c r="J985" s="1">
        <f>TablaVentas[[#This Row],[Costo Unitario]]*TablaVentas[[#This Row],[Cantidad]]</f>
        <v>1015.77</v>
      </c>
      <c r="K985" s="1">
        <f>TablaVentas[[#This Row],[Total Venta]]-TablaVentas[[#This Row],[Total Costo]]</f>
        <v>382.79999999999995</v>
      </c>
    </row>
    <row r="986" spans="1:11" x14ac:dyDescent="0.25">
      <c r="A986" s="2">
        <v>45648</v>
      </c>
      <c r="B986" s="1" t="s">
        <v>34</v>
      </c>
      <c r="C986" s="1" t="s">
        <v>13</v>
      </c>
      <c r="D986" s="1" t="s">
        <v>14</v>
      </c>
      <c r="E986" s="1" t="s">
        <v>15</v>
      </c>
      <c r="F986" s="1">
        <v>6</v>
      </c>
      <c r="G986" s="1">
        <v>256.06</v>
      </c>
      <c r="H986" s="1">
        <v>207.32</v>
      </c>
      <c r="I986" s="1">
        <f>TablaVentas[[#This Row],[Precio Unitario]]*TablaVentas[[#This Row],[Cantidad]]</f>
        <v>1536.3600000000001</v>
      </c>
      <c r="J986" s="1">
        <f>TablaVentas[[#This Row],[Costo Unitario]]*TablaVentas[[#This Row],[Cantidad]]</f>
        <v>1243.92</v>
      </c>
      <c r="K986" s="1">
        <f>TablaVentas[[#This Row],[Total Venta]]-TablaVentas[[#This Row],[Total Costo]]</f>
        <v>292.44000000000005</v>
      </c>
    </row>
    <row r="987" spans="1:11" x14ac:dyDescent="0.25">
      <c r="A987" s="2">
        <v>45648</v>
      </c>
      <c r="B987" s="1" t="s">
        <v>12</v>
      </c>
      <c r="C987" s="1" t="s">
        <v>13</v>
      </c>
      <c r="D987" s="1" t="s">
        <v>17</v>
      </c>
      <c r="E987" s="1" t="s">
        <v>11</v>
      </c>
      <c r="F987" s="1">
        <v>7</v>
      </c>
      <c r="G987" s="1">
        <v>58.9</v>
      </c>
      <c r="H987" s="1">
        <v>38.32</v>
      </c>
      <c r="I987" s="1">
        <f>TablaVentas[[#This Row],[Precio Unitario]]*TablaVentas[[#This Row],[Cantidad]]</f>
        <v>412.3</v>
      </c>
      <c r="J987" s="1">
        <f>TablaVentas[[#This Row],[Costo Unitario]]*TablaVentas[[#This Row],[Cantidad]]</f>
        <v>268.24</v>
      </c>
      <c r="K987" s="1">
        <f>TablaVentas[[#This Row],[Total Venta]]-TablaVentas[[#This Row],[Total Costo]]</f>
        <v>144.06</v>
      </c>
    </row>
    <row r="988" spans="1:11" x14ac:dyDescent="0.25">
      <c r="A988" s="2">
        <v>45649</v>
      </c>
      <c r="B988" s="1" t="s">
        <v>8</v>
      </c>
      <c r="C988" s="1" t="s">
        <v>9</v>
      </c>
      <c r="D988" s="1" t="s">
        <v>24</v>
      </c>
      <c r="E988" s="1" t="s">
        <v>15</v>
      </c>
      <c r="F988" s="1">
        <v>9</v>
      </c>
      <c r="G988" s="1">
        <v>725.67</v>
      </c>
      <c r="H988" s="1">
        <v>505.7</v>
      </c>
      <c r="I988" s="1">
        <f>TablaVentas[[#This Row],[Precio Unitario]]*TablaVentas[[#This Row],[Cantidad]]</f>
        <v>6531.03</v>
      </c>
      <c r="J988" s="1">
        <f>TablaVentas[[#This Row],[Costo Unitario]]*TablaVentas[[#This Row],[Cantidad]]</f>
        <v>4551.3</v>
      </c>
      <c r="K988" s="1">
        <f>TablaVentas[[#This Row],[Total Venta]]-TablaVentas[[#This Row],[Total Costo]]</f>
        <v>1979.7299999999996</v>
      </c>
    </row>
    <row r="989" spans="1:11" x14ac:dyDescent="0.25">
      <c r="A989" s="2">
        <v>45649</v>
      </c>
      <c r="B989" s="1" t="s">
        <v>16</v>
      </c>
      <c r="C989" s="1" t="s">
        <v>13</v>
      </c>
      <c r="D989" s="1" t="s">
        <v>24</v>
      </c>
      <c r="E989" s="1" t="s">
        <v>11</v>
      </c>
      <c r="F989" s="1">
        <v>7</v>
      </c>
      <c r="G989" s="1">
        <v>62.2</v>
      </c>
      <c r="H989" s="1">
        <v>33.479999999999997</v>
      </c>
      <c r="I989" s="1">
        <f>TablaVentas[[#This Row],[Precio Unitario]]*TablaVentas[[#This Row],[Cantidad]]</f>
        <v>435.40000000000003</v>
      </c>
      <c r="J989" s="1">
        <f>TablaVentas[[#This Row],[Costo Unitario]]*TablaVentas[[#This Row],[Cantidad]]</f>
        <v>234.35999999999999</v>
      </c>
      <c r="K989" s="1">
        <f>TablaVentas[[#This Row],[Total Venta]]-TablaVentas[[#This Row],[Total Costo]]</f>
        <v>201.04000000000005</v>
      </c>
    </row>
    <row r="990" spans="1:11" x14ac:dyDescent="0.25">
      <c r="A990" s="2">
        <v>45649</v>
      </c>
      <c r="B990" s="1" t="s">
        <v>12</v>
      </c>
      <c r="C990" s="1" t="s">
        <v>13</v>
      </c>
      <c r="D990" s="1" t="s">
        <v>33</v>
      </c>
      <c r="E990" s="1" t="s">
        <v>15</v>
      </c>
      <c r="F990" s="1">
        <v>1</v>
      </c>
      <c r="G990" s="1">
        <v>64.09</v>
      </c>
      <c r="H990" s="1">
        <v>39.200000000000003</v>
      </c>
      <c r="I990" s="1">
        <f>TablaVentas[[#This Row],[Precio Unitario]]*TablaVentas[[#This Row],[Cantidad]]</f>
        <v>64.09</v>
      </c>
      <c r="J990" s="1">
        <f>TablaVentas[[#This Row],[Costo Unitario]]*TablaVentas[[#This Row],[Cantidad]]</f>
        <v>39.200000000000003</v>
      </c>
      <c r="K990" s="1">
        <f>TablaVentas[[#This Row],[Total Venta]]-TablaVentas[[#This Row],[Total Costo]]</f>
        <v>24.89</v>
      </c>
    </row>
    <row r="991" spans="1:11" x14ac:dyDescent="0.25">
      <c r="A991" s="2">
        <v>45650</v>
      </c>
      <c r="B991" s="1" t="s">
        <v>32</v>
      </c>
      <c r="C991" s="1" t="s">
        <v>30</v>
      </c>
      <c r="D991" s="1" t="s">
        <v>24</v>
      </c>
      <c r="E991" s="1" t="s">
        <v>28</v>
      </c>
      <c r="F991" s="1">
        <v>1</v>
      </c>
      <c r="G991" s="1">
        <v>298.08999999999997</v>
      </c>
      <c r="H991" s="1">
        <v>219.09</v>
      </c>
      <c r="I991" s="1">
        <f>TablaVentas[[#This Row],[Precio Unitario]]*TablaVentas[[#This Row],[Cantidad]]</f>
        <v>298.08999999999997</v>
      </c>
      <c r="J991" s="1">
        <f>TablaVentas[[#This Row],[Costo Unitario]]*TablaVentas[[#This Row],[Cantidad]]</f>
        <v>219.09</v>
      </c>
      <c r="K991" s="1">
        <f>TablaVentas[[#This Row],[Total Venta]]-TablaVentas[[#This Row],[Total Costo]]</f>
        <v>78.999999999999972</v>
      </c>
    </row>
    <row r="992" spans="1:11" x14ac:dyDescent="0.25">
      <c r="A992" s="2">
        <v>45651</v>
      </c>
      <c r="B992" s="1" t="s">
        <v>29</v>
      </c>
      <c r="C992" s="1" t="s">
        <v>30</v>
      </c>
      <c r="D992" s="1" t="s">
        <v>33</v>
      </c>
      <c r="E992" s="1" t="s">
        <v>11</v>
      </c>
      <c r="F992" s="1">
        <v>1</v>
      </c>
      <c r="G992" s="1">
        <v>400</v>
      </c>
      <c r="H992" s="1">
        <v>288.11</v>
      </c>
      <c r="I992" s="1">
        <f>TablaVentas[[#This Row],[Precio Unitario]]*TablaVentas[[#This Row],[Cantidad]]</f>
        <v>400</v>
      </c>
      <c r="J992" s="1">
        <f>TablaVentas[[#This Row],[Costo Unitario]]*TablaVentas[[#This Row],[Cantidad]]</f>
        <v>288.11</v>
      </c>
      <c r="K992" s="1">
        <f>TablaVentas[[#This Row],[Total Venta]]-TablaVentas[[#This Row],[Total Costo]]</f>
        <v>111.88999999999999</v>
      </c>
    </row>
    <row r="993" spans="1:11" x14ac:dyDescent="0.25">
      <c r="A993" s="2">
        <v>45652</v>
      </c>
      <c r="B993" s="1" t="s">
        <v>23</v>
      </c>
      <c r="C993" s="1" t="s">
        <v>9</v>
      </c>
      <c r="D993" s="1" t="s">
        <v>25</v>
      </c>
      <c r="E993" s="1" t="s">
        <v>22</v>
      </c>
      <c r="F993" s="1">
        <v>4</v>
      </c>
      <c r="G993" s="1">
        <v>67.180000000000007</v>
      </c>
      <c r="H993" s="1">
        <v>48.65</v>
      </c>
      <c r="I993" s="1">
        <f>TablaVentas[[#This Row],[Precio Unitario]]*TablaVentas[[#This Row],[Cantidad]]</f>
        <v>268.72000000000003</v>
      </c>
      <c r="J993" s="1">
        <f>TablaVentas[[#This Row],[Costo Unitario]]*TablaVentas[[#This Row],[Cantidad]]</f>
        <v>194.6</v>
      </c>
      <c r="K993" s="1">
        <f>TablaVentas[[#This Row],[Total Venta]]-TablaVentas[[#This Row],[Total Costo]]</f>
        <v>74.120000000000033</v>
      </c>
    </row>
    <row r="994" spans="1:11" x14ac:dyDescent="0.25">
      <c r="A994" s="2">
        <v>45653</v>
      </c>
      <c r="B994" s="1" t="s">
        <v>21</v>
      </c>
      <c r="C994" s="1" t="s">
        <v>19</v>
      </c>
      <c r="D994" s="1" t="s">
        <v>17</v>
      </c>
      <c r="E994" s="1" t="s">
        <v>22</v>
      </c>
      <c r="F994" s="1">
        <v>5</v>
      </c>
      <c r="G994" s="1">
        <v>87.86</v>
      </c>
      <c r="H994" s="1">
        <v>55.7</v>
      </c>
      <c r="I994" s="1">
        <f>TablaVentas[[#This Row],[Precio Unitario]]*TablaVentas[[#This Row],[Cantidad]]</f>
        <v>439.3</v>
      </c>
      <c r="J994" s="1">
        <f>TablaVentas[[#This Row],[Costo Unitario]]*TablaVentas[[#This Row],[Cantidad]]</f>
        <v>278.5</v>
      </c>
      <c r="K994" s="1">
        <f>TablaVentas[[#This Row],[Total Venta]]-TablaVentas[[#This Row],[Total Costo]]</f>
        <v>160.80000000000001</v>
      </c>
    </row>
    <row r="995" spans="1:11" x14ac:dyDescent="0.25">
      <c r="A995" s="2">
        <v>45653</v>
      </c>
      <c r="B995" s="1" t="s">
        <v>16</v>
      </c>
      <c r="C995" s="1" t="s">
        <v>13</v>
      </c>
      <c r="D995" s="1" t="s">
        <v>27</v>
      </c>
      <c r="E995" s="1" t="s">
        <v>11</v>
      </c>
      <c r="F995" s="1">
        <v>8</v>
      </c>
      <c r="G995" s="1">
        <v>53.07</v>
      </c>
      <c r="H995" s="1">
        <v>33.22</v>
      </c>
      <c r="I995" s="1">
        <f>TablaVentas[[#This Row],[Precio Unitario]]*TablaVentas[[#This Row],[Cantidad]]</f>
        <v>424.56</v>
      </c>
      <c r="J995" s="1">
        <f>TablaVentas[[#This Row],[Costo Unitario]]*TablaVentas[[#This Row],[Cantidad]]</f>
        <v>265.76</v>
      </c>
      <c r="K995" s="1">
        <f>TablaVentas[[#This Row],[Total Venta]]-TablaVentas[[#This Row],[Total Costo]]</f>
        <v>158.80000000000001</v>
      </c>
    </row>
    <row r="996" spans="1:11" x14ac:dyDescent="0.25">
      <c r="A996" s="2">
        <v>45653</v>
      </c>
      <c r="B996" s="1" t="s">
        <v>16</v>
      </c>
      <c r="C996" s="1" t="s">
        <v>13</v>
      </c>
      <c r="D996" s="1" t="s">
        <v>17</v>
      </c>
      <c r="E996" s="1" t="s">
        <v>15</v>
      </c>
      <c r="F996" s="1">
        <v>2</v>
      </c>
      <c r="G996" s="1">
        <v>52.83</v>
      </c>
      <c r="H996" s="1">
        <v>32.4</v>
      </c>
      <c r="I996" s="1">
        <f>TablaVentas[[#This Row],[Precio Unitario]]*TablaVentas[[#This Row],[Cantidad]]</f>
        <v>105.66</v>
      </c>
      <c r="J996" s="1">
        <f>TablaVentas[[#This Row],[Costo Unitario]]*TablaVentas[[#This Row],[Cantidad]]</f>
        <v>64.8</v>
      </c>
      <c r="K996" s="1">
        <f>TablaVentas[[#This Row],[Total Venta]]-TablaVentas[[#This Row],[Total Costo]]</f>
        <v>40.86</v>
      </c>
    </row>
    <row r="997" spans="1:11" x14ac:dyDescent="0.25">
      <c r="A997" s="2">
        <v>45654</v>
      </c>
      <c r="B997" s="1" t="s">
        <v>18</v>
      </c>
      <c r="C997" s="1" t="s">
        <v>19</v>
      </c>
      <c r="D997" s="1" t="s">
        <v>31</v>
      </c>
      <c r="E997" s="1" t="s">
        <v>22</v>
      </c>
      <c r="F997" s="1">
        <v>8</v>
      </c>
      <c r="G997" s="1">
        <v>1141.72</v>
      </c>
      <c r="H997" s="1">
        <v>874.4</v>
      </c>
      <c r="I997" s="1">
        <f>TablaVentas[[#This Row],[Precio Unitario]]*TablaVentas[[#This Row],[Cantidad]]</f>
        <v>9133.76</v>
      </c>
      <c r="J997" s="1">
        <f>TablaVentas[[#This Row],[Costo Unitario]]*TablaVentas[[#This Row],[Cantidad]]</f>
        <v>6995.2</v>
      </c>
      <c r="K997" s="1">
        <f>TablaVentas[[#This Row],[Total Venta]]-TablaVentas[[#This Row],[Total Costo]]</f>
        <v>2138.5600000000004</v>
      </c>
    </row>
    <row r="998" spans="1:11" x14ac:dyDescent="0.25">
      <c r="A998" s="2">
        <v>45655</v>
      </c>
      <c r="B998" s="1" t="s">
        <v>21</v>
      </c>
      <c r="C998" s="1" t="s">
        <v>19</v>
      </c>
      <c r="D998" s="1" t="s">
        <v>27</v>
      </c>
      <c r="E998" s="1" t="s">
        <v>28</v>
      </c>
      <c r="F998" s="1">
        <v>3</v>
      </c>
      <c r="G998" s="1">
        <v>91.59</v>
      </c>
      <c r="H998" s="1">
        <v>55.36</v>
      </c>
      <c r="I998" s="1">
        <f>TablaVentas[[#This Row],[Precio Unitario]]*TablaVentas[[#This Row],[Cantidad]]</f>
        <v>274.77</v>
      </c>
      <c r="J998" s="1">
        <f>TablaVentas[[#This Row],[Costo Unitario]]*TablaVentas[[#This Row],[Cantidad]]</f>
        <v>166.07999999999998</v>
      </c>
      <c r="K998" s="1">
        <f>TablaVentas[[#This Row],[Total Venta]]-TablaVentas[[#This Row],[Total Costo]]</f>
        <v>108.69</v>
      </c>
    </row>
    <row r="999" spans="1:11" x14ac:dyDescent="0.25">
      <c r="A999" s="2">
        <v>45656</v>
      </c>
      <c r="B999" s="1" t="s">
        <v>32</v>
      </c>
      <c r="C999" s="1" t="s">
        <v>30</v>
      </c>
      <c r="D999" s="1" t="s">
        <v>25</v>
      </c>
      <c r="E999" s="1" t="s">
        <v>22</v>
      </c>
      <c r="F999" s="1">
        <v>5</v>
      </c>
      <c r="G999" s="1">
        <v>345.65</v>
      </c>
      <c r="H999" s="1">
        <v>194.19</v>
      </c>
      <c r="I999" s="1">
        <f>TablaVentas[[#This Row],[Precio Unitario]]*TablaVentas[[#This Row],[Cantidad]]</f>
        <v>1728.25</v>
      </c>
      <c r="J999" s="1">
        <f>TablaVentas[[#This Row],[Costo Unitario]]*TablaVentas[[#This Row],[Cantidad]]</f>
        <v>970.95</v>
      </c>
      <c r="K999" s="1">
        <f>TablaVentas[[#This Row],[Total Venta]]-TablaVentas[[#This Row],[Total Costo]]</f>
        <v>757.3</v>
      </c>
    </row>
    <row r="1000" spans="1:11" x14ac:dyDescent="0.25">
      <c r="A1000" s="2">
        <v>45656</v>
      </c>
      <c r="B1000" s="1" t="s">
        <v>8</v>
      </c>
      <c r="C1000" s="1" t="s">
        <v>9</v>
      </c>
      <c r="D1000" s="1" t="s">
        <v>14</v>
      </c>
      <c r="E1000" s="1" t="s">
        <v>28</v>
      </c>
      <c r="F1000" s="1">
        <v>9</v>
      </c>
      <c r="G1000" s="1">
        <v>714.45</v>
      </c>
      <c r="H1000" s="1">
        <v>468.34</v>
      </c>
      <c r="I1000" s="1">
        <f>TablaVentas[[#This Row],[Precio Unitario]]*TablaVentas[[#This Row],[Cantidad]]</f>
        <v>6430.05</v>
      </c>
      <c r="J1000" s="1">
        <f>TablaVentas[[#This Row],[Costo Unitario]]*TablaVentas[[#This Row],[Cantidad]]</f>
        <v>4215.0599999999995</v>
      </c>
      <c r="K1000" s="1">
        <f>TablaVentas[[#This Row],[Total Venta]]-TablaVentas[[#This Row],[Total Costo]]</f>
        <v>2214.9900000000007</v>
      </c>
    </row>
    <row r="1001" spans="1:11" x14ac:dyDescent="0.25">
      <c r="A1001" s="2">
        <v>45656</v>
      </c>
      <c r="B1001" s="1" t="s">
        <v>18</v>
      </c>
      <c r="C1001" s="1" t="s">
        <v>19</v>
      </c>
      <c r="D1001" s="1" t="s">
        <v>24</v>
      </c>
      <c r="E1001" s="1" t="s">
        <v>22</v>
      </c>
      <c r="F1001" s="1">
        <v>10</v>
      </c>
      <c r="G1001" s="1">
        <v>1205.68</v>
      </c>
      <c r="H1001" s="1">
        <v>912.73</v>
      </c>
      <c r="I1001" s="1">
        <f>TablaVentas[[#This Row],[Precio Unitario]]*TablaVentas[[#This Row],[Cantidad]]</f>
        <v>12056.800000000001</v>
      </c>
      <c r="J1001" s="1">
        <f>TablaVentas[[#This Row],[Costo Unitario]]*TablaVentas[[#This Row],[Cantidad]]</f>
        <v>9127.2999999999993</v>
      </c>
      <c r="K1001" s="1">
        <f>TablaVentas[[#This Row],[Total Venta]]-TablaVentas[[#This Row],[Total Costo]]</f>
        <v>2929.5000000000018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24D64-3179-4A88-83A4-6294A0D73B7E}">
  <sheetPr codeName="Hoja2"/>
  <dimension ref="A1:AB23"/>
  <sheetViews>
    <sheetView tabSelected="1" zoomScale="85" zoomScaleNormal="85" workbookViewId="0">
      <selection activeCell="P1" sqref="P1"/>
    </sheetView>
  </sheetViews>
  <sheetFormatPr baseColWidth="10" defaultRowHeight="15" x14ac:dyDescent="0.25"/>
  <cols>
    <col min="1" max="2" width="11.42578125" customWidth="1"/>
    <col min="3" max="11" width="12.42578125" customWidth="1"/>
    <col min="12" max="12" width="19.42578125" customWidth="1"/>
    <col min="13" max="13" width="3.140625" customWidth="1"/>
    <col min="14" max="14" width="19.42578125" bestFit="1" customWidth="1"/>
    <col min="15" max="20" width="10.42578125" customWidth="1"/>
    <col min="21" max="21" width="8.28515625" bestFit="1" customWidth="1"/>
    <col min="22" max="22" width="11.7109375" bestFit="1" customWidth="1"/>
    <col min="23" max="23" width="10.42578125" customWidth="1"/>
    <col min="24" max="24" width="16.28515625" bestFit="1" customWidth="1"/>
    <col min="25" max="25" width="11.7109375" bestFit="1" customWidth="1"/>
    <col min="26" max="26" width="10.42578125" customWidth="1"/>
    <col min="27" max="27" width="20.140625" bestFit="1" customWidth="1"/>
    <col min="28" max="28" width="19.42578125" bestFit="1" customWidth="1"/>
    <col min="29" max="39" width="10.42578125" customWidth="1"/>
    <col min="40" max="52" width="10.42578125" bestFit="1" customWidth="1"/>
    <col min="53" max="58" width="9.42578125" bestFit="1" customWidth="1"/>
    <col min="59" max="75" width="10.42578125" bestFit="1" customWidth="1"/>
    <col min="76" max="82" width="9.42578125" bestFit="1" customWidth="1"/>
    <col min="83" max="99" width="10.42578125" bestFit="1" customWidth="1"/>
    <col min="100" max="104" width="9.42578125" bestFit="1" customWidth="1"/>
    <col min="105" max="122" width="10.42578125" bestFit="1" customWidth="1"/>
    <col min="123" max="130" width="9.42578125" bestFit="1" customWidth="1"/>
    <col min="131" max="146" width="10.42578125" bestFit="1" customWidth="1"/>
    <col min="147" max="152" width="9.42578125" bestFit="1" customWidth="1"/>
    <col min="153" max="171" width="10.42578125" bestFit="1" customWidth="1"/>
    <col min="172" max="177" width="9.42578125" bestFit="1" customWidth="1"/>
    <col min="178" max="194" width="10.42578125" bestFit="1" customWidth="1"/>
    <col min="195" max="198" width="9.42578125" bestFit="1" customWidth="1"/>
    <col min="199" max="215" width="10.42578125" bestFit="1" customWidth="1"/>
    <col min="216" max="223" width="9.42578125" bestFit="1" customWidth="1"/>
    <col min="224" max="240" width="10.42578125" bestFit="1" customWidth="1"/>
    <col min="241" max="246" width="9.42578125" bestFit="1" customWidth="1"/>
    <col min="247" max="261" width="10.42578125" bestFit="1" customWidth="1"/>
    <col min="262" max="267" width="9.42578125" bestFit="1" customWidth="1"/>
    <col min="268" max="282" width="10.42578125" bestFit="1" customWidth="1"/>
    <col min="283" max="291" width="9.42578125" bestFit="1" customWidth="1"/>
    <col min="292" max="306" width="10.42578125" bestFit="1" customWidth="1"/>
    <col min="307" max="311" width="9.42578125" bestFit="1" customWidth="1"/>
    <col min="312" max="325" width="10.42578125" bestFit="1" customWidth="1"/>
    <col min="326" max="330" width="9.42578125" bestFit="1" customWidth="1"/>
    <col min="331" max="346" width="10.42578125" bestFit="1" customWidth="1"/>
    <col min="347" max="353" width="9.42578125" bestFit="1" customWidth="1"/>
    <col min="354" max="366" width="10.42578125" bestFit="1" customWidth="1"/>
    <col min="367" max="374" width="9.42578125" bestFit="1" customWidth="1"/>
    <col min="375" max="393" width="10.42578125" bestFit="1" customWidth="1"/>
    <col min="394" max="400" width="9.42578125" bestFit="1" customWidth="1"/>
    <col min="401" max="415" width="10.42578125" bestFit="1" customWidth="1"/>
    <col min="416" max="423" width="9.42578125" bestFit="1" customWidth="1"/>
    <col min="424" max="438" width="10.42578125" bestFit="1" customWidth="1"/>
    <col min="439" max="444" width="9.42578125" bestFit="1" customWidth="1"/>
    <col min="445" max="463" width="10.42578125" bestFit="1" customWidth="1"/>
    <col min="464" max="469" width="9.42578125" bestFit="1" customWidth="1"/>
    <col min="470" max="484" width="10.42578125" bestFit="1" customWidth="1"/>
    <col min="485" max="489" width="9.42578125" bestFit="1" customWidth="1"/>
    <col min="490" max="506" width="10.42578125" bestFit="1" customWidth="1"/>
    <col min="507" max="512" width="9.42578125" bestFit="1" customWidth="1"/>
    <col min="513" max="528" width="10.42578125" bestFit="1" customWidth="1"/>
    <col min="529" max="535" width="9.42578125" bestFit="1" customWidth="1"/>
    <col min="536" max="554" width="10.42578125" bestFit="1" customWidth="1"/>
    <col min="555" max="555" width="12.5703125" bestFit="1" customWidth="1"/>
  </cols>
  <sheetData>
    <row r="1" spans="1:28" x14ac:dyDescent="0.25">
      <c r="A1" s="23" t="s">
        <v>69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U1" s="3" t="s">
        <v>48</v>
      </c>
      <c r="V1" s="1" t="s">
        <v>55</v>
      </c>
      <c r="X1" s="3" t="s">
        <v>49</v>
      </c>
      <c r="Y1" s="1" t="s">
        <v>55</v>
      </c>
      <c r="AA1" s="3" t="s">
        <v>51</v>
      </c>
      <c r="AB1" s="1" t="s">
        <v>55</v>
      </c>
    </row>
    <row r="2" spans="1:28" x14ac:dyDescent="0.25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U2" s="7" t="s">
        <v>35</v>
      </c>
      <c r="V2" s="4">
        <v>161065.29</v>
      </c>
      <c r="X2" s="7" t="s">
        <v>13</v>
      </c>
      <c r="Y2" s="5">
        <v>209643.42000000004</v>
      </c>
      <c r="AA2" s="7" t="s">
        <v>24</v>
      </c>
      <c r="AB2" s="4">
        <v>224942.72</v>
      </c>
    </row>
    <row r="3" spans="1:28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U3" s="7" t="s">
        <v>36</v>
      </c>
      <c r="V3" s="4">
        <v>140924.54999999996</v>
      </c>
      <c r="X3" s="7" t="s">
        <v>19</v>
      </c>
      <c r="Y3" s="5">
        <v>698649.58000000042</v>
      </c>
      <c r="AA3" s="7" t="s">
        <v>33</v>
      </c>
      <c r="AB3" s="4">
        <v>234972.80999999997</v>
      </c>
    </row>
    <row r="4" spans="1:28" x14ac:dyDescent="0.25">
      <c r="G4" s="11"/>
      <c r="L4" s="1" t="s">
        <v>56</v>
      </c>
      <c r="N4" s="1" t="s">
        <v>52</v>
      </c>
      <c r="U4" s="7" t="s">
        <v>37</v>
      </c>
      <c r="V4" s="4">
        <v>126182.01000000002</v>
      </c>
      <c r="X4" s="7" t="s">
        <v>9</v>
      </c>
      <c r="Y4" s="5">
        <v>449406.64999999997</v>
      </c>
      <c r="AA4" s="7" t="s">
        <v>14</v>
      </c>
      <c r="AB4" s="4">
        <v>243019.76</v>
      </c>
    </row>
    <row r="5" spans="1:28" ht="15" customHeight="1" x14ac:dyDescent="0.25">
      <c r="L5" s="13">
        <v>1786347.2400000005</v>
      </c>
      <c r="N5" s="12">
        <v>5561</v>
      </c>
      <c r="U5" s="7" t="s">
        <v>38</v>
      </c>
      <c r="V5" s="4">
        <v>108095.99</v>
      </c>
      <c r="X5" s="7" t="s">
        <v>30</v>
      </c>
      <c r="Y5" s="5">
        <v>428647.58999999962</v>
      </c>
      <c r="AA5" s="8" t="s">
        <v>10</v>
      </c>
      <c r="AB5" s="9">
        <v>248125.52000000011</v>
      </c>
    </row>
    <row r="6" spans="1:28" ht="15.75" thickBot="1" x14ac:dyDescent="0.3">
      <c r="U6" s="7" t="s">
        <v>39</v>
      </c>
      <c r="V6" s="4">
        <v>134317.86000000002</v>
      </c>
      <c r="X6" s="1" t="s">
        <v>47</v>
      </c>
      <c r="Y6" s="4">
        <v>1786347.24</v>
      </c>
      <c r="AA6" s="7" t="s">
        <v>17</v>
      </c>
      <c r="AB6" s="4">
        <v>251647.55</v>
      </c>
    </row>
    <row r="7" spans="1:28" ht="15" customHeight="1" x14ac:dyDescent="0.25">
      <c r="L7" s="1" t="s">
        <v>57</v>
      </c>
      <c r="N7" s="21" t="s">
        <v>67</v>
      </c>
      <c r="U7" s="7" t="s">
        <v>40</v>
      </c>
      <c r="V7" s="4">
        <v>199335.22</v>
      </c>
    </row>
    <row r="8" spans="1:28" x14ac:dyDescent="0.25">
      <c r="L8" s="10">
        <v>0.31737165502044407</v>
      </c>
      <c r="N8" s="22">
        <f>(GETPIVOTDATA("Utilidad Neta",Dashboard!$X$8)-Config!$B$7)/Config!$B$7</f>
        <v>0.38954897058823496</v>
      </c>
      <c r="U8" s="7" t="s">
        <v>41</v>
      </c>
      <c r="V8" s="4">
        <v>137231.18999999994</v>
      </c>
      <c r="X8" s="1" t="s">
        <v>68</v>
      </c>
      <c r="AA8" s="24" t="s">
        <v>70</v>
      </c>
      <c r="AB8" t="s">
        <v>52</v>
      </c>
    </row>
    <row r="9" spans="1:28" x14ac:dyDescent="0.25">
      <c r="U9" s="7" t="s">
        <v>42</v>
      </c>
      <c r="V9" s="4">
        <v>143566.94</v>
      </c>
      <c r="X9" s="20">
        <v>566935.97999999986</v>
      </c>
      <c r="AA9" s="25" t="s">
        <v>34</v>
      </c>
      <c r="AB9" s="26">
        <v>535</v>
      </c>
    </row>
    <row r="10" spans="1:28" x14ac:dyDescent="0.25">
      <c r="U10" s="7" t="s">
        <v>43</v>
      </c>
      <c r="V10" s="4">
        <v>129135.88000000002</v>
      </c>
      <c r="AA10" s="25" t="s">
        <v>8</v>
      </c>
      <c r="AB10" s="26">
        <v>583</v>
      </c>
    </row>
    <row r="11" spans="1:28" x14ac:dyDescent="0.25">
      <c r="U11" s="7" t="s">
        <v>44</v>
      </c>
      <c r="V11" s="4">
        <v>142803.11000000002</v>
      </c>
      <c r="AA11" s="25" t="s">
        <v>32</v>
      </c>
      <c r="AB11" s="26">
        <v>636</v>
      </c>
    </row>
    <row r="12" spans="1:28" x14ac:dyDescent="0.25">
      <c r="U12" s="7" t="s">
        <v>45</v>
      </c>
      <c r="V12" s="4">
        <v>188816.06</v>
      </c>
      <c r="AA12" s="25" t="s">
        <v>23</v>
      </c>
      <c r="AB12" s="26">
        <v>641</v>
      </c>
    </row>
    <row r="13" spans="1:28" x14ac:dyDescent="0.25">
      <c r="U13" s="7" t="s">
        <v>46</v>
      </c>
      <c r="V13" s="4">
        <v>174873.1399999999</v>
      </c>
      <c r="AA13" s="25" t="s">
        <v>21</v>
      </c>
      <c r="AB13" s="26">
        <v>648</v>
      </c>
    </row>
    <row r="14" spans="1:28" x14ac:dyDescent="0.25">
      <c r="U14" s="1" t="s">
        <v>47</v>
      </c>
      <c r="V14" s="6">
        <v>1786347.24</v>
      </c>
    </row>
    <row r="17" spans="21:22" x14ac:dyDescent="0.25">
      <c r="U17" s="3" t="s">
        <v>50</v>
      </c>
      <c r="V17" s="1" t="s">
        <v>55</v>
      </c>
    </row>
    <row r="18" spans="21:22" x14ac:dyDescent="0.25">
      <c r="U18" s="7" t="s">
        <v>22</v>
      </c>
      <c r="V18" s="4">
        <v>416388.05999999976</v>
      </c>
    </row>
    <row r="19" spans="21:22" x14ac:dyDescent="0.25">
      <c r="U19" s="7" t="s">
        <v>20</v>
      </c>
      <c r="V19" s="4">
        <v>395735.80999999994</v>
      </c>
    </row>
    <row r="20" spans="21:22" x14ac:dyDescent="0.25">
      <c r="U20" s="7" t="s">
        <v>11</v>
      </c>
      <c r="V20" s="4">
        <v>350885.60000000003</v>
      </c>
    </row>
    <row r="21" spans="21:22" x14ac:dyDescent="0.25">
      <c r="U21" s="7" t="s">
        <v>15</v>
      </c>
      <c r="V21" s="4">
        <v>330795.70000000019</v>
      </c>
    </row>
    <row r="22" spans="21:22" x14ac:dyDescent="0.25">
      <c r="U22" s="7" t="s">
        <v>28</v>
      </c>
      <c r="V22" s="4">
        <v>292542.06999999995</v>
      </c>
    </row>
    <row r="23" spans="21:22" x14ac:dyDescent="0.25">
      <c r="U23" s="1" t="s">
        <v>47</v>
      </c>
      <c r="V23" s="4">
        <v>1786347.2399999998</v>
      </c>
    </row>
  </sheetData>
  <mergeCells count="1">
    <mergeCell ref="A1:L3"/>
  </mergeCells>
  <conditionalFormatting pivot="1" sqref="L8">
    <cfRule type="cellIs" dxfId="1039" priority="6" operator="greaterThanOrEqual">
      <formula>0.3</formula>
    </cfRule>
  </conditionalFormatting>
  <conditionalFormatting pivot="1" sqref="L8">
    <cfRule type="cellIs" dxfId="1038" priority="5" operator="between">
      <formula>0.2</formula>
      <formula>0.2999</formula>
    </cfRule>
  </conditionalFormatting>
  <conditionalFormatting pivot="1" sqref="L8">
    <cfRule type="cellIs" dxfId="1037" priority="4" operator="lessThan">
      <formula>0.2</formula>
    </cfRule>
  </conditionalFormatting>
  <conditionalFormatting sqref="N8">
    <cfRule type="cellIs" dxfId="1036" priority="1" operator="lessThan">
      <formula>0.1</formula>
    </cfRule>
    <cfRule type="cellIs" dxfId="1035" priority="2" operator="between">
      <formula>0.1</formula>
      <formula>0.1999</formula>
    </cfRule>
    <cfRule type="cellIs" dxfId="1034" priority="3" operator="greaterThanOrEqual">
      <formula>0.2</formula>
    </cfRule>
  </conditionalFormatting>
  <pageMargins left="0.7" right="0.7" top="0.75" bottom="0.75" header="0.3" footer="0.3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2" name="Button 1">
              <controlPr defaultSize="0" print="0" autoFill="0" autoPict="0" macro="[0]!ActualizarDashboard">
                <anchor moveWithCells="1">
                  <from>
                    <xdr:col>12</xdr:col>
                    <xdr:colOff>9525</xdr:colOff>
                    <xdr:row>0</xdr:row>
                    <xdr:rowOff>104775</xdr:rowOff>
                  </from>
                  <to>
                    <xdr:col>14</xdr:col>
                    <xdr:colOff>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3"/>
      </x14:slicerList>
    </ext>
    <ext xmlns:x15="http://schemas.microsoft.com/office/spreadsheetml/2010/11/main" uri="{7E03D99C-DC04-49d9-9315-930204A7B6E9}">
      <x15:timelineRefs>
        <x15:timelineRef r:id="rId14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9CC6A-197F-46EF-9197-49D6DAA0CF1E}">
  <sheetPr codeName="Hoja3"/>
  <dimension ref="A1:B7"/>
  <sheetViews>
    <sheetView workbookViewId="0">
      <selection activeCell="C1" sqref="C1"/>
    </sheetView>
  </sheetViews>
  <sheetFormatPr baseColWidth="10" defaultRowHeight="15" x14ac:dyDescent="0.25"/>
  <cols>
    <col min="1" max="1" width="17.5703125" bestFit="1" customWidth="1"/>
    <col min="2" max="2" width="12.42578125" bestFit="1" customWidth="1"/>
  </cols>
  <sheetData>
    <row r="1" spans="1:2" x14ac:dyDescent="0.25">
      <c r="A1" s="17" t="s">
        <v>58</v>
      </c>
      <c r="B1" s="17" t="s">
        <v>59</v>
      </c>
    </row>
    <row r="2" spans="1:2" x14ac:dyDescent="0.25">
      <c r="A2" s="14" t="s">
        <v>60</v>
      </c>
      <c r="B2" s="15">
        <v>89000</v>
      </c>
    </row>
    <row r="3" spans="1:2" x14ac:dyDescent="0.25">
      <c r="A3" s="14" t="s">
        <v>61</v>
      </c>
      <c r="B3" s="15">
        <v>250000</v>
      </c>
    </row>
    <row r="4" spans="1:2" x14ac:dyDescent="0.25">
      <c r="A4" s="14" t="s">
        <v>62</v>
      </c>
      <c r="B4" s="15">
        <v>69000</v>
      </c>
    </row>
    <row r="5" spans="1:2" x14ac:dyDescent="0.25">
      <c r="A5" s="14" t="s">
        <v>63</v>
      </c>
      <c r="B5" s="16">
        <v>0.25</v>
      </c>
    </row>
    <row r="6" spans="1:2" x14ac:dyDescent="0.25">
      <c r="A6" s="14" t="s">
        <v>64</v>
      </c>
      <c r="B6" s="16">
        <v>0.15</v>
      </c>
    </row>
    <row r="7" spans="1:2" x14ac:dyDescent="0.25">
      <c r="A7" s="18" t="s">
        <v>66</v>
      </c>
      <c r="B7" s="19">
        <f>SUM(B2:B4)</f>
        <v>408000</v>
      </c>
    </row>
  </sheetData>
  <pageMargins left="0.7" right="0.7" top="0.75" bottom="0.75" header="0.3" footer="0.3"/>
  <ignoredErrors>
    <ignoredError sqref="B7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Dashboard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Domínguez</dc:creator>
  <cp:lastModifiedBy>Daniel Domínguez</cp:lastModifiedBy>
  <dcterms:created xsi:type="dcterms:W3CDTF">2025-10-25T18:52:25Z</dcterms:created>
  <dcterms:modified xsi:type="dcterms:W3CDTF">2025-10-29T23:08:33Z</dcterms:modified>
</cp:coreProperties>
</file>